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ktav\Documents\"/>
    </mc:Choice>
  </mc:AlternateContent>
  <xr:revisionPtr revIDLastSave="0" documentId="8_{5B68679E-B8B8-421C-AFAB-3CE768A0CFE3}" xr6:coauthVersionLast="47" xr6:coauthVersionMax="47" xr10:uidLastSave="{00000000-0000-0000-0000-000000000000}"/>
  <bookViews>
    <workbookView xWindow="-110" yWindow="-110" windowWidth="19420" windowHeight="10300" xr2:uid="{FB73AE78-806A-42F9-86C1-1C0E284E26F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77" i="1" l="1"/>
  <c r="K77" i="1" s="1"/>
  <c r="E77" i="1"/>
  <c r="J77" i="1" s="1"/>
  <c r="D77" i="1"/>
  <c r="I77" i="1" s="1"/>
  <c r="C77" i="1"/>
  <c r="B77" i="1"/>
  <c r="F52" i="1"/>
  <c r="K52" i="1" s="1"/>
  <c r="E52" i="1"/>
  <c r="J52" i="1" s="1"/>
  <c r="D52" i="1"/>
  <c r="I52" i="1" s="1"/>
  <c r="C52" i="1"/>
  <c r="B52" i="1"/>
  <c r="F32" i="1"/>
  <c r="K32" i="1" s="1"/>
  <c r="E32" i="1"/>
  <c r="J32" i="1" s="1"/>
  <c r="D32" i="1"/>
  <c r="I32" i="1" s="1"/>
  <c r="C32" i="1"/>
  <c r="B32" i="1"/>
  <c r="F9" i="1"/>
  <c r="K9" i="1" s="1"/>
  <c r="E9" i="1"/>
  <c r="J9" i="1" s="1"/>
  <c r="D9" i="1"/>
  <c r="I9" i="1" s="1"/>
  <c r="C9" i="1"/>
  <c r="B9" i="1"/>
  <c r="E10" i="1" l="1"/>
  <c r="J10" i="1" s="1"/>
  <c r="D10" i="1"/>
  <c r="I10" i="1" s="1"/>
  <c r="C10" i="1"/>
  <c r="G9" i="1"/>
  <c r="F10" i="1"/>
  <c r="K10" i="1" s="1"/>
  <c r="B10" i="1"/>
  <c r="H9" i="1"/>
  <c r="E33" i="1"/>
  <c r="J33" i="1" s="1"/>
  <c r="D33" i="1"/>
  <c r="I33" i="1" s="1"/>
  <c r="C33" i="1"/>
  <c r="G32" i="1"/>
  <c r="F33" i="1"/>
  <c r="K33" i="1" s="1"/>
  <c r="B33" i="1"/>
  <c r="H32" i="1"/>
  <c r="E53" i="1"/>
  <c r="J53" i="1" s="1"/>
  <c r="D53" i="1"/>
  <c r="I53" i="1" s="1"/>
  <c r="C53" i="1"/>
  <c r="G52" i="1"/>
  <c r="F53" i="1"/>
  <c r="K53" i="1" s="1"/>
  <c r="B53" i="1"/>
  <c r="H52" i="1"/>
  <c r="E78" i="1"/>
  <c r="J78" i="1" s="1"/>
  <c r="D78" i="1"/>
  <c r="I78" i="1" s="1"/>
  <c r="C78" i="1"/>
  <c r="G77" i="1"/>
  <c r="F78" i="1"/>
  <c r="K78" i="1" s="1"/>
  <c r="B78" i="1"/>
  <c r="H77" i="1"/>
  <c r="E79" i="1" l="1"/>
  <c r="J79" i="1" s="1"/>
  <c r="D79" i="1"/>
  <c r="I79" i="1" s="1"/>
  <c r="C79" i="1"/>
  <c r="G78" i="1"/>
  <c r="L77" i="1"/>
  <c r="F79" i="1"/>
  <c r="K79" i="1" s="1"/>
  <c r="B79" i="1"/>
  <c r="H78" i="1"/>
  <c r="E54" i="1"/>
  <c r="J54" i="1" s="1"/>
  <c r="D54" i="1"/>
  <c r="I54" i="1" s="1"/>
  <c r="C54" i="1"/>
  <c r="G53" i="1"/>
  <c r="L52" i="1"/>
  <c r="F54" i="1"/>
  <c r="K54" i="1" s="1"/>
  <c r="B54" i="1"/>
  <c r="H53" i="1"/>
  <c r="E34" i="1"/>
  <c r="J34" i="1" s="1"/>
  <c r="D34" i="1"/>
  <c r="I34" i="1" s="1"/>
  <c r="C34" i="1"/>
  <c r="G33" i="1"/>
  <c r="L32" i="1"/>
  <c r="F34" i="1"/>
  <c r="K34" i="1" s="1"/>
  <c r="B34" i="1"/>
  <c r="H33" i="1"/>
  <c r="E11" i="1"/>
  <c r="J11" i="1" s="1"/>
  <c r="D11" i="1"/>
  <c r="I11" i="1" s="1"/>
  <c r="C11" i="1"/>
  <c r="G10" i="1"/>
  <c r="L9" i="1"/>
  <c r="F11" i="1"/>
  <c r="K11" i="1" s="1"/>
  <c r="B11" i="1"/>
  <c r="H10" i="1"/>
  <c r="E12" i="1" l="1"/>
  <c r="J12" i="1" s="1"/>
  <c r="D12" i="1"/>
  <c r="I12" i="1" s="1"/>
  <c r="C12" i="1"/>
  <c r="G11" i="1"/>
  <c r="L10" i="1"/>
  <c r="F12" i="1"/>
  <c r="K12" i="1" s="1"/>
  <c r="B12" i="1"/>
  <c r="H11" i="1"/>
  <c r="E35" i="1"/>
  <c r="J35" i="1" s="1"/>
  <c r="D35" i="1"/>
  <c r="I35" i="1" s="1"/>
  <c r="C35" i="1"/>
  <c r="G34" i="1"/>
  <c r="L33" i="1"/>
  <c r="F35" i="1"/>
  <c r="K35" i="1" s="1"/>
  <c r="B35" i="1"/>
  <c r="H34" i="1"/>
  <c r="E55" i="1"/>
  <c r="J55" i="1" s="1"/>
  <c r="D55" i="1"/>
  <c r="I55" i="1" s="1"/>
  <c r="C55" i="1"/>
  <c r="G54" i="1"/>
  <c r="L53" i="1"/>
  <c r="F55" i="1"/>
  <c r="K55" i="1" s="1"/>
  <c r="B55" i="1"/>
  <c r="H54" i="1"/>
  <c r="E80" i="1"/>
  <c r="J80" i="1" s="1"/>
  <c r="D80" i="1"/>
  <c r="I80" i="1" s="1"/>
  <c r="C80" i="1"/>
  <c r="G79" i="1"/>
  <c r="L78" i="1"/>
  <c r="F80" i="1"/>
  <c r="K80" i="1" s="1"/>
  <c r="B80" i="1"/>
  <c r="H79" i="1"/>
  <c r="E81" i="1" l="1"/>
  <c r="J81" i="1" s="1"/>
  <c r="D81" i="1"/>
  <c r="I81" i="1" s="1"/>
  <c r="C81" i="1"/>
  <c r="G80" i="1"/>
  <c r="L79" i="1"/>
  <c r="F81" i="1"/>
  <c r="K81" i="1" s="1"/>
  <c r="B81" i="1"/>
  <c r="H80" i="1"/>
  <c r="E56" i="1"/>
  <c r="J56" i="1" s="1"/>
  <c r="D56" i="1"/>
  <c r="I56" i="1" s="1"/>
  <c r="C56" i="1"/>
  <c r="G55" i="1"/>
  <c r="L54" i="1"/>
  <c r="F56" i="1"/>
  <c r="K56" i="1" s="1"/>
  <c r="B56" i="1"/>
  <c r="H55" i="1"/>
  <c r="E36" i="1"/>
  <c r="J36" i="1" s="1"/>
  <c r="D36" i="1"/>
  <c r="I36" i="1" s="1"/>
  <c r="C36" i="1"/>
  <c r="G35" i="1"/>
  <c r="L34" i="1"/>
  <c r="F36" i="1"/>
  <c r="K36" i="1" s="1"/>
  <c r="B36" i="1"/>
  <c r="H35" i="1"/>
  <c r="E13" i="1"/>
  <c r="J13" i="1" s="1"/>
  <c r="D13" i="1"/>
  <c r="I13" i="1" s="1"/>
  <c r="C13" i="1"/>
  <c r="G12" i="1"/>
  <c r="L11" i="1"/>
  <c r="F13" i="1"/>
  <c r="K13" i="1" s="1"/>
  <c r="B13" i="1"/>
  <c r="H12" i="1"/>
  <c r="E14" i="1" l="1"/>
  <c r="J14" i="1" s="1"/>
  <c r="D14" i="1"/>
  <c r="I14" i="1" s="1"/>
  <c r="C14" i="1"/>
  <c r="G13" i="1"/>
  <c r="L12" i="1"/>
  <c r="F14" i="1"/>
  <c r="K14" i="1" s="1"/>
  <c r="B14" i="1"/>
  <c r="H13" i="1"/>
  <c r="E37" i="1"/>
  <c r="J37" i="1" s="1"/>
  <c r="D37" i="1"/>
  <c r="I37" i="1" s="1"/>
  <c r="C37" i="1"/>
  <c r="G36" i="1"/>
  <c r="L35" i="1"/>
  <c r="F37" i="1"/>
  <c r="K37" i="1" s="1"/>
  <c r="B37" i="1"/>
  <c r="H36" i="1"/>
  <c r="E57" i="1"/>
  <c r="J57" i="1" s="1"/>
  <c r="D57" i="1"/>
  <c r="I57" i="1" s="1"/>
  <c r="C57" i="1"/>
  <c r="G56" i="1"/>
  <c r="L55" i="1"/>
  <c r="F57" i="1"/>
  <c r="K57" i="1" s="1"/>
  <c r="B57" i="1"/>
  <c r="H56" i="1"/>
  <c r="E82" i="1"/>
  <c r="J82" i="1" s="1"/>
  <c r="D82" i="1"/>
  <c r="I82" i="1" s="1"/>
  <c r="C82" i="1"/>
  <c r="G81" i="1"/>
  <c r="L80" i="1"/>
  <c r="F82" i="1"/>
  <c r="K82" i="1" s="1"/>
  <c r="B82" i="1"/>
  <c r="H81" i="1"/>
  <c r="E83" i="1" l="1"/>
  <c r="J83" i="1" s="1"/>
  <c r="D83" i="1"/>
  <c r="I83" i="1" s="1"/>
  <c r="C83" i="1"/>
  <c r="G82" i="1"/>
  <c r="L81" i="1"/>
  <c r="F83" i="1"/>
  <c r="K83" i="1" s="1"/>
  <c r="B83" i="1"/>
  <c r="H82" i="1"/>
  <c r="E58" i="1"/>
  <c r="J58" i="1" s="1"/>
  <c r="D58" i="1"/>
  <c r="I58" i="1" s="1"/>
  <c r="C58" i="1"/>
  <c r="G57" i="1"/>
  <c r="L56" i="1"/>
  <c r="F58" i="1"/>
  <c r="K58" i="1" s="1"/>
  <c r="B58" i="1"/>
  <c r="H57" i="1"/>
  <c r="E38" i="1"/>
  <c r="J38" i="1" s="1"/>
  <c r="D38" i="1"/>
  <c r="I38" i="1" s="1"/>
  <c r="C38" i="1"/>
  <c r="G37" i="1"/>
  <c r="L36" i="1"/>
  <c r="F38" i="1"/>
  <c r="K38" i="1" s="1"/>
  <c r="B38" i="1"/>
  <c r="H37" i="1"/>
  <c r="E15" i="1"/>
  <c r="J15" i="1" s="1"/>
  <c r="D15" i="1"/>
  <c r="I15" i="1" s="1"/>
  <c r="C15" i="1"/>
  <c r="G14" i="1"/>
  <c r="L13" i="1"/>
  <c r="F15" i="1"/>
  <c r="K15" i="1" s="1"/>
  <c r="B15" i="1"/>
  <c r="H14" i="1"/>
  <c r="E16" i="1" l="1"/>
  <c r="J16" i="1" s="1"/>
  <c r="D16" i="1"/>
  <c r="I16" i="1" s="1"/>
  <c r="C16" i="1"/>
  <c r="G15" i="1"/>
  <c r="L14" i="1"/>
  <c r="F16" i="1"/>
  <c r="K16" i="1" s="1"/>
  <c r="B16" i="1"/>
  <c r="H15" i="1"/>
  <c r="E39" i="1"/>
  <c r="J39" i="1" s="1"/>
  <c r="D39" i="1"/>
  <c r="I39" i="1" s="1"/>
  <c r="C39" i="1"/>
  <c r="G38" i="1"/>
  <c r="L37" i="1"/>
  <c r="F39" i="1"/>
  <c r="K39" i="1" s="1"/>
  <c r="B39" i="1"/>
  <c r="H38" i="1"/>
  <c r="E59" i="1"/>
  <c r="J59" i="1" s="1"/>
  <c r="D59" i="1"/>
  <c r="I59" i="1" s="1"/>
  <c r="C59" i="1"/>
  <c r="G58" i="1"/>
  <c r="L57" i="1"/>
  <c r="F59" i="1"/>
  <c r="K59" i="1" s="1"/>
  <c r="B59" i="1"/>
  <c r="H58" i="1"/>
  <c r="E84" i="1"/>
  <c r="J84" i="1" s="1"/>
  <c r="D84" i="1"/>
  <c r="I84" i="1" s="1"/>
  <c r="C84" i="1"/>
  <c r="G83" i="1"/>
  <c r="L82" i="1"/>
  <c r="F84" i="1"/>
  <c r="K84" i="1" s="1"/>
  <c r="B84" i="1"/>
  <c r="H83" i="1"/>
  <c r="E85" i="1" l="1"/>
  <c r="J85" i="1" s="1"/>
  <c r="D85" i="1"/>
  <c r="I85" i="1" s="1"/>
  <c r="C85" i="1"/>
  <c r="G84" i="1"/>
  <c r="L83" i="1"/>
  <c r="F85" i="1"/>
  <c r="K85" i="1" s="1"/>
  <c r="B85" i="1"/>
  <c r="H84" i="1"/>
  <c r="E60" i="1"/>
  <c r="J60" i="1" s="1"/>
  <c r="D60" i="1"/>
  <c r="I60" i="1" s="1"/>
  <c r="C60" i="1"/>
  <c r="G59" i="1"/>
  <c r="L58" i="1"/>
  <c r="F60" i="1"/>
  <c r="K60" i="1" s="1"/>
  <c r="B60" i="1"/>
  <c r="H59" i="1"/>
  <c r="E40" i="1"/>
  <c r="J40" i="1" s="1"/>
  <c r="D40" i="1"/>
  <c r="I40" i="1" s="1"/>
  <c r="C40" i="1"/>
  <c r="G39" i="1"/>
  <c r="L38" i="1"/>
  <c r="F40" i="1"/>
  <c r="K40" i="1" s="1"/>
  <c r="B40" i="1"/>
  <c r="H39" i="1"/>
  <c r="E17" i="1"/>
  <c r="J17" i="1" s="1"/>
  <c r="D17" i="1"/>
  <c r="I17" i="1" s="1"/>
  <c r="C17" i="1"/>
  <c r="G16" i="1"/>
  <c r="L15" i="1"/>
  <c r="F17" i="1"/>
  <c r="K17" i="1" s="1"/>
  <c r="B17" i="1"/>
  <c r="H16" i="1"/>
  <c r="E18" i="1" l="1"/>
  <c r="J18" i="1" s="1"/>
  <c r="D18" i="1"/>
  <c r="I18" i="1" s="1"/>
  <c r="C18" i="1"/>
  <c r="G17" i="1"/>
  <c r="L16" i="1"/>
  <c r="F18" i="1"/>
  <c r="K18" i="1" s="1"/>
  <c r="B18" i="1"/>
  <c r="H17" i="1"/>
  <c r="E41" i="1"/>
  <c r="J41" i="1" s="1"/>
  <c r="D41" i="1"/>
  <c r="I41" i="1" s="1"/>
  <c r="C41" i="1"/>
  <c r="G40" i="1"/>
  <c r="L39" i="1"/>
  <c r="F41" i="1"/>
  <c r="K41" i="1" s="1"/>
  <c r="B41" i="1"/>
  <c r="H40" i="1"/>
  <c r="E61" i="1"/>
  <c r="J61" i="1" s="1"/>
  <c r="D61" i="1"/>
  <c r="I61" i="1" s="1"/>
  <c r="C61" i="1"/>
  <c r="G60" i="1"/>
  <c r="L59" i="1"/>
  <c r="F61" i="1"/>
  <c r="K61" i="1" s="1"/>
  <c r="B61" i="1"/>
  <c r="H60" i="1"/>
  <c r="E86" i="1"/>
  <c r="J86" i="1" s="1"/>
  <c r="D86" i="1"/>
  <c r="I86" i="1" s="1"/>
  <c r="C86" i="1"/>
  <c r="G85" i="1"/>
  <c r="L84" i="1"/>
  <c r="F86" i="1"/>
  <c r="K86" i="1" s="1"/>
  <c r="B86" i="1"/>
  <c r="H85" i="1"/>
  <c r="E87" i="1" l="1"/>
  <c r="J87" i="1" s="1"/>
  <c r="D87" i="1"/>
  <c r="I87" i="1" s="1"/>
  <c r="C87" i="1"/>
  <c r="G86" i="1"/>
  <c r="L85" i="1"/>
  <c r="F87" i="1"/>
  <c r="K87" i="1" s="1"/>
  <c r="B87" i="1"/>
  <c r="H86" i="1"/>
  <c r="E62" i="1"/>
  <c r="J62" i="1" s="1"/>
  <c r="D62" i="1"/>
  <c r="I62" i="1" s="1"/>
  <c r="C62" i="1"/>
  <c r="G61" i="1"/>
  <c r="L60" i="1"/>
  <c r="F62" i="1"/>
  <c r="K62" i="1" s="1"/>
  <c r="B62" i="1"/>
  <c r="H61" i="1"/>
  <c r="E42" i="1"/>
  <c r="J42" i="1" s="1"/>
  <c r="D42" i="1"/>
  <c r="I42" i="1" s="1"/>
  <c r="C42" i="1"/>
  <c r="H42" i="1" s="1"/>
  <c r="G41" i="1"/>
  <c r="L40" i="1"/>
  <c r="F42" i="1"/>
  <c r="K42" i="1" s="1"/>
  <c r="B42" i="1"/>
  <c r="G42" i="1" s="1"/>
  <c r="L42" i="1" s="1"/>
  <c r="H41" i="1"/>
  <c r="E19" i="1"/>
  <c r="J19" i="1" s="1"/>
  <c r="D19" i="1"/>
  <c r="I19" i="1" s="1"/>
  <c r="C19" i="1"/>
  <c r="G18" i="1"/>
  <c r="L17" i="1"/>
  <c r="F19" i="1"/>
  <c r="K19" i="1" s="1"/>
  <c r="B19" i="1"/>
  <c r="H18" i="1"/>
  <c r="E20" i="1" l="1"/>
  <c r="J20" i="1" s="1"/>
  <c r="D20" i="1"/>
  <c r="I20" i="1" s="1"/>
  <c r="C20" i="1"/>
  <c r="G19" i="1"/>
  <c r="L18" i="1"/>
  <c r="F20" i="1"/>
  <c r="K20" i="1" s="1"/>
  <c r="B20" i="1"/>
  <c r="H19" i="1"/>
  <c r="L41" i="1"/>
  <c r="E63" i="1"/>
  <c r="J63" i="1" s="1"/>
  <c r="D63" i="1"/>
  <c r="I63" i="1" s="1"/>
  <c r="C63" i="1"/>
  <c r="G62" i="1"/>
  <c r="L61" i="1"/>
  <c r="F63" i="1"/>
  <c r="K63" i="1" s="1"/>
  <c r="B63" i="1"/>
  <c r="H62" i="1"/>
  <c r="E88" i="1"/>
  <c r="J88" i="1" s="1"/>
  <c r="D88" i="1"/>
  <c r="I88" i="1" s="1"/>
  <c r="C88" i="1"/>
  <c r="G87" i="1"/>
  <c r="L86" i="1"/>
  <c r="F88" i="1"/>
  <c r="K88" i="1" s="1"/>
  <c r="B88" i="1"/>
  <c r="H87" i="1"/>
  <c r="E89" i="1" l="1"/>
  <c r="J89" i="1" s="1"/>
  <c r="D89" i="1"/>
  <c r="I89" i="1" s="1"/>
  <c r="C89" i="1"/>
  <c r="H89" i="1" s="1"/>
  <c r="G88" i="1"/>
  <c r="L87" i="1"/>
  <c r="F89" i="1"/>
  <c r="K89" i="1" s="1"/>
  <c r="B89" i="1"/>
  <c r="G89" i="1" s="1"/>
  <c r="L89" i="1" s="1"/>
  <c r="H88" i="1"/>
  <c r="E64" i="1"/>
  <c r="J64" i="1" s="1"/>
  <c r="D64" i="1"/>
  <c r="I64" i="1" s="1"/>
  <c r="C64" i="1"/>
  <c r="G63" i="1"/>
  <c r="L62" i="1"/>
  <c r="F64" i="1"/>
  <c r="K64" i="1" s="1"/>
  <c r="B64" i="1"/>
  <c r="H63" i="1"/>
  <c r="E21" i="1"/>
  <c r="J21" i="1" s="1"/>
  <c r="D21" i="1"/>
  <c r="I21" i="1" s="1"/>
  <c r="C21" i="1"/>
  <c r="G20" i="1"/>
  <c r="L19" i="1"/>
  <c r="F21" i="1"/>
  <c r="K21" i="1" s="1"/>
  <c r="B21" i="1"/>
  <c r="H20" i="1"/>
  <c r="E22" i="1" l="1"/>
  <c r="J22" i="1" s="1"/>
  <c r="D22" i="1"/>
  <c r="I22" i="1" s="1"/>
  <c r="C22" i="1"/>
  <c r="H22" i="1" s="1"/>
  <c r="G21" i="1"/>
  <c r="L20" i="1"/>
  <c r="F22" i="1"/>
  <c r="K22" i="1" s="1"/>
  <c r="B22" i="1"/>
  <c r="G22" i="1" s="1"/>
  <c r="L22" i="1" s="1"/>
  <c r="H21" i="1"/>
  <c r="E65" i="1"/>
  <c r="J65" i="1" s="1"/>
  <c r="D65" i="1"/>
  <c r="I65" i="1" s="1"/>
  <c r="C65" i="1"/>
  <c r="G64" i="1"/>
  <c r="L63" i="1"/>
  <c r="F65" i="1"/>
  <c r="K65" i="1" s="1"/>
  <c r="B65" i="1"/>
  <c r="H64" i="1"/>
  <c r="L88" i="1"/>
  <c r="E66" i="1" l="1"/>
  <c r="J66" i="1" s="1"/>
  <c r="D66" i="1"/>
  <c r="I66" i="1" s="1"/>
  <c r="C66" i="1"/>
  <c r="G65" i="1"/>
  <c r="L64" i="1"/>
  <c r="F66" i="1"/>
  <c r="K66" i="1" s="1"/>
  <c r="B66" i="1"/>
  <c r="H65" i="1"/>
  <c r="L21" i="1"/>
  <c r="E67" i="1" l="1"/>
  <c r="J67" i="1" s="1"/>
  <c r="D67" i="1"/>
  <c r="I67" i="1" s="1"/>
  <c r="C67" i="1"/>
  <c r="H67" i="1" s="1"/>
  <c r="G66" i="1"/>
  <c r="L65" i="1"/>
  <c r="F67" i="1"/>
  <c r="K67" i="1" s="1"/>
  <c r="B67" i="1"/>
  <c r="G67" i="1" s="1"/>
  <c r="L67" i="1" s="1"/>
  <c r="H66" i="1"/>
  <c r="L66" i="1" l="1"/>
</calcChain>
</file>

<file path=xl/sharedStrings.xml><?xml version="1.0" encoding="utf-8"?>
<sst xmlns="http://schemas.openxmlformats.org/spreadsheetml/2006/main" count="116" uniqueCount="25">
  <si>
    <t>4x1+x2+x3+x5=6</t>
  </si>
  <si>
    <t>menjadi</t>
  </si>
  <si>
    <t>x1=1/4*(6-x2-x3-x5)</t>
  </si>
  <si>
    <t>Error relatif</t>
  </si>
  <si>
    <t>(-x1)-3x2+x3+x4=6</t>
  </si>
  <si>
    <t>x2=-1/3*(6+x1-x3-x4)</t>
  </si>
  <si>
    <t>N</t>
  </si>
  <si>
    <t>2x1+x2+5x3-x4-x5=6</t>
  </si>
  <si>
    <t>x3=1/5*(6-2*x1-x2+x4+x5)</t>
  </si>
  <si>
    <t>(-x1)-x2-x3+4x4=6</t>
  </si>
  <si>
    <t>x4=1/4*(6+x1+x2+x3)</t>
  </si>
  <si>
    <t>2x2-x3+x4+4x5=6</t>
  </si>
  <si>
    <t>x5=1/4*(6-2*x2+x3-x4)</t>
  </si>
  <si>
    <t>Iterasi ke</t>
  </si>
  <si>
    <t>X1</t>
  </si>
  <si>
    <t>X2</t>
  </si>
  <si>
    <t>X3</t>
  </si>
  <si>
    <t>X4</t>
  </si>
  <si>
    <t>X5</t>
  </si>
  <si>
    <t>Error X1</t>
  </si>
  <si>
    <t>Error X2</t>
  </si>
  <si>
    <t>Error X3</t>
  </si>
  <si>
    <t>Error X4</t>
  </si>
  <si>
    <t>Error X5</t>
  </si>
  <si>
    <t>Max 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</si>
</sst>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0"/>
    <numFmt numFmtId="165" formatCode="0.000%"/>
    <numFmt numFmtId="166" formatCode="0.0%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7">
    <xf numFmtId="0" fontId="0" fillId="0" borderId="0" xfId="0"/>
    <xf numFmtId="0" fontId="0" fillId="0" borderId="0" xfId="0"/>
    <xf numFmtId="0" fontId="2" fillId="0" borderId="0" xfId="0" applyFont="1"/>
    <xf numFmtId="10" fontId="2" fillId="0" borderId="0" xfId="0" applyNumberFormat="1" applyFont="1"/>
    <xf numFmtId="0" fontId="3" fillId="2" borderId="1" xfId="0" applyFont="1" applyFill="1" applyBorder="1" applyAlignment="1">
      <alignment horizontal="center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  <xf numFmtId="165" fontId="0" fillId="0" borderId="1" xfId="1" applyNumberFormat="1" applyFont="1" applyBorder="1"/>
    <xf numFmtId="0" fontId="2" fillId="3" borderId="1" xfId="0" applyFont="1" applyFill="1" applyBorder="1"/>
    <xf numFmtId="0" fontId="0" fillId="3" borderId="1" xfId="0" applyFill="1" applyBorder="1"/>
    <xf numFmtId="164" fontId="0" fillId="3" borderId="1" xfId="0" applyNumberFormat="1" applyFill="1" applyBorder="1"/>
    <xf numFmtId="165" fontId="0" fillId="3" borderId="1" xfId="1" applyNumberFormat="1" applyFont="1" applyFill="1" applyBorder="1"/>
    <xf numFmtId="166" fontId="2" fillId="0" borderId="0" xfId="0" applyNumberFormat="1" applyFont="1"/>
    <xf numFmtId="0" fontId="0" fillId="4" borderId="1" xfId="0" applyFill="1" applyBorder="1"/>
    <xf numFmtId="164" fontId="0" fillId="4" borderId="1" xfId="0" applyNumberFormat="1" applyFill="1" applyBorder="1"/>
    <xf numFmtId="165" fontId="0" fillId="4" borderId="1" xfId="1" applyNumberFormat="1" applyFont="1" applyFill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2FF2AE-469F-4908-AA4D-F29F492F26BA}">
  <dimension ref="A1:L89"/>
  <sheetViews>
    <sheetView tabSelected="1" workbookViewId="0">
      <selection activeCell="G5" sqref="G5"/>
    </sheetView>
  </sheetViews>
  <sheetFormatPr defaultRowHeight="14.5" x14ac:dyDescent="0.35"/>
  <cols>
    <col min="1" max="1" width="9.6328125" bestFit="1" customWidth="1"/>
    <col min="7" max="8" width="11.1796875" bestFit="1" customWidth="1"/>
    <col min="9" max="9" width="9.453125" bestFit="1" customWidth="1"/>
    <col min="10" max="10" width="11.1796875" bestFit="1" customWidth="1"/>
    <col min="11" max="11" width="9.453125" bestFit="1" customWidth="1"/>
    <col min="12" max="12" width="11.1796875" bestFit="1" customWidth="1"/>
  </cols>
  <sheetData>
    <row r="1" spans="1:12" ht="15.5" x14ac:dyDescent="0.35">
      <c r="A1" s="1" t="s">
        <v>0</v>
      </c>
      <c r="B1" s="1"/>
      <c r="C1" t="s">
        <v>1</v>
      </c>
      <c r="D1" s="1" t="s">
        <v>2</v>
      </c>
      <c r="E1" s="1"/>
      <c r="F1" s="1"/>
      <c r="G1" s="2" t="s">
        <v>3</v>
      </c>
      <c r="H1" s="3">
        <v>5.0000000000000001E-4</v>
      </c>
    </row>
    <row r="2" spans="1:12" ht="15.5" x14ac:dyDescent="0.35">
      <c r="A2" s="1" t="s">
        <v>4</v>
      </c>
      <c r="B2" s="1"/>
      <c r="C2" t="s">
        <v>1</v>
      </c>
      <c r="D2" s="1" t="s">
        <v>5</v>
      </c>
      <c r="E2" s="1"/>
      <c r="F2" s="1"/>
      <c r="G2" s="2" t="s">
        <v>6</v>
      </c>
      <c r="H2" s="2">
        <v>20</v>
      </c>
    </row>
    <row r="3" spans="1:12" x14ac:dyDescent="0.35">
      <c r="A3" s="1" t="s">
        <v>7</v>
      </c>
      <c r="B3" s="1"/>
      <c r="C3" t="s">
        <v>1</v>
      </c>
      <c r="D3" s="1" t="s">
        <v>8</v>
      </c>
      <c r="E3" s="1"/>
      <c r="F3" s="1"/>
    </row>
    <row r="4" spans="1:12" x14ac:dyDescent="0.35">
      <c r="A4" s="1" t="s">
        <v>9</v>
      </c>
      <c r="B4" s="1"/>
      <c r="C4" t="s">
        <v>1</v>
      </c>
      <c r="D4" s="1" t="s">
        <v>10</v>
      </c>
      <c r="E4" s="1"/>
      <c r="F4" s="1"/>
    </row>
    <row r="5" spans="1:12" x14ac:dyDescent="0.35">
      <c r="A5" s="1" t="s">
        <v>11</v>
      </c>
      <c r="B5" s="1"/>
      <c r="C5" t="s">
        <v>1</v>
      </c>
      <c r="D5" s="1" t="s">
        <v>12</v>
      </c>
      <c r="E5" s="1"/>
      <c r="F5" s="1"/>
    </row>
    <row r="7" spans="1:12" ht="15.5" x14ac:dyDescent="0.35">
      <c r="A7" s="4" t="s">
        <v>13</v>
      </c>
      <c r="B7" s="4" t="s">
        <v>14</v>
      </c>
      <c r="C7" s="4" t="s">
        <v>15</v>
      </c>
      <c r="D7" s="4" t="s">
        <v>16</v>
      </c>
      <c r="E7" s="4" t="s">
        <v>17</v>
      </c>
      <c r="F7" s="4" t="s">
        <v>18</v>
      </c>
      <c r="G7" s="4" t="s">
        <v>19</v>
      </c>
      <c r="H7" s="4" t="s">
        <v>20</v>
      </c>
      <c r="I7" s="4" t="s">
        <v>21</v>
      </c>
      <c r="J7" s="4" t="s">
        <v>22</v>
      </c>
      <c r="K7" s="4" t="s">
        <v>23</v>
      </c>
      <c r="L7" s="4" t="s">
        <v>24</v>
      </c>
    </row>
    <row r="8" spans="1:12" ht="15.5" x14ac:dyDescent="0.35">
      <c r="A8" s="5">
        <v>0</v>
      </c>
      <c r="B8" s="5">
        <v>1</v>
      </c>
      <c r="C8" s="5">
        <v>2</v>
      </c>
      <c r="D8" s="5">
        <v>3</v>
      </c>
      <c r="E8" s="5">
        <v>4</v>
      </c>
      <c r="F8" s="5">
        <v>6</v>
      </c>
      <c r="G8" s="5"/>
      <c r="H8" s="5"/>
      <c r="I8" s="5"/>
      <c r="J8" s="5"/>
      <c r="K8" s="5"/>
      <c r="L8" s="5"/>
    </row>
    <row r="9" spans="1:12" x14ac:dyDescent="0.35">
      <c r="A9" s="6">
        <v>1</v>
      </c>
      <c r="B9" s="6">
        <f>1/4*(6-C8-D8-F8)</f>
        <v>-1.25</v>
      </c>
      <c r="C9" s="6">
        <f>-1/3*(6+B8-D8-E8)</f>
        <v>0</v>
      </c>
      <c r="D9" s="6">
        <f>1/5*(6-2*B8-C8+E8+F8)</f>
        <v>2.4000000000000004</v>
      </c>
      <c r="E9" s="6">
        <f>1/4*(6+B8+C8+D8)</f>
        <v>3</v>
      </c>
      <c r="F9" s="6">
        <f>1/4*(6-2*C8+D8-E8)</f>
        <v>0.25</v>
      </c>
      <c r="G9" s="6">
        <f>ABS((B9-B8)/B9)</f>
        <v>1.8</v>
      </c>
      <c r="H9" s="7" t="e">
        <f>ABS((C9-C8)/C9)</f>
        <v>#DIV/0!</v>
      </c>
      <c r="I9" s="6">
        <f>ABS((D9-D8)/D9)</f>
        <v>0.24999999999999981</v>
      </c>
      <c r="J9" s="6">
        <f>ABS((E9-E8)/E9)</f>
        <v>0.33333333333333331</v>
      </c>
      <c r="K9" s="6">
        <f>ABS((F9-F8)/F9)</f>
        <v>23</v>
      </c>
      <c r="L9" s="8" t="e">
        <f>MAX(G9:K9)</f>
        <v>#DIV/0!</v>
      </c>
    </row>
    <row r="10" spans="1:12" ht="15.5" x14ac:dyDescent="0.35">
      <c r="A10" s="5">
        <v>2</v>
      </c>
      <c r="B10" s="6">
        <f t="shared" ref="B10:B17" si="0">1/4*(6-C9-D9-F9)</f>
        <v>0.83749999999999991</v>
      </c>
      <c r="C10" s="6">
        <f t="shared" ref="C10:C17" si="1">-1/3*(6+B9-D9-E9)</f>
        <v>0.21666666666666679</v>
      </c>
      <c r="D10" s="6">
        <f t="shared" ref="D10:D17" si="2">1/5*(6-2*B9-C9+E9+F9)</f>
        <v>2.35</v>
      </c>
      <c r="E10" s="6">
        <f t="shared" ref="E10:E17" si="3">1/4*(6+B9+C9+D9)</f>
        <v>1.7875000000000001</v>
      </c>
      <c r="F10" s="6">
        <f t="shared" ref="F10:F17" si="4">1/4*(6-2*C9+D9-E9)</f>
        <v>1.35</v>
      </c>
      <c r="G10" s="6">
        <f t="shared" ref="G10:K17" si="5">ABS((B10-B9)/B10)</f>
        <v>2.4925373134328361</v>
      </c>
      <c r="H10" s="7">
        <f t="shared" si="5"/>
        <v>1</v>
      </c>
      <c r="I10" s="6">
        <f t="shared" si="5"/>
        <v>2.1276595744680965E-2</v>
      </c>
      <c r="J10" s="6">
        <f t="shared" si="5"/>
        <v>0.67832167832167822</v>
      </c>
      <c r="K10" s="6">
        <f t="shared" si="5"/>
        <v>0.81481481481481488</v>
      </c>
      <c r="L10" s="8">
        <f>MAX(G10:K10)</f>
        <v>2.4925373134328361</v>
      </c>
    </row>
    <row r="11" spans="1:12" x14ac:dyDescent="0.35">
      <c r="A11" s="6">
        <v>3</v>
      </c>
      <c r="B11" s="6">
        <f t="shared" si="0"/>
        <v>0.52083333333333326</v>
      </c>
      <c r="C11" s="6">
        <f t="shared" si="1"/>
        <v>-0.90000000000000013</v>
      </c>
      <c r="D11" s="6">
        <f t="shared" si="2"/>
        <v>1.4491666666666667</v>
      </c>
      <c r="E11" s="6">
        <f t="shared" si="3"/>
        <v>2.3510416666666667</v>
      </c>
      <c r="F11" s="6">
        <f t="shared" si="4"/>
        <v>1.5322916666666666</v>
      </c>
      <c r="G11" s="6">
        <f t="shared" si="5"/>
        <v>0.6080000000000001</v>
      </c>
      <c r="H11" s="7">
        <f t="shared" si="5"/>
        <v>1.2407407407407409</v>
      </c>
      <c r="I11" s="6">
        <f t="shared" si="5"/>
        <v>0.6216216216216216</v>
      </c>
      <c r="J11" s="6">
        <f t="shared" si="5"/>
        <v>0.23969871510855115</v>
      </c>
      <c r="K11" s="6">
        <f t="shared" si="5"/>
        <v>0.11896668932698835</v>
      </c>
      <c r="L11" s="8">
        <f t="shared" ref="L11:L17" si="6">MAX(G11:K11)</f>
        <v>1.2407407407407409</v>
      </c>
    </row>
    <row r="12" spans="1:12" ht="15.5" x14ac:dyDescent="0.35">
      <c r="A12" s="5">
        <v>4</v>
      </c>
      <c r="B12" s="6">
        <f t="shared" si="0"/>
        <v>0.97963541666666676</v>
      </c>
      <c r="C12" s="6">
        <f t="shared" si="1"/>
        <v>-0.90687499999999988</v>
      </c>
      <c r="D12" s="6">
        <f t="shared" si="2"/>
        <v>1.9483333333333335</v>
      </c>
      <c r="E12" s="6">
        <f t="shared" si="3"/>
        <v>1.7674999999999998</v>
      </c>
      <c r="F12" s="6">
        <f t="shared" si="4"/>
        <v>1.7245312500000001</v>
      </c>
      <c r="G12" s="6">
        <f t="shared" si="5"/>
        <v>0.46833962464777512</v>
      </c>
      <c r="H12" s="7">
        <f t="shared" si="5"/>
        <v>7.5809786354235622E-3</v>
      </c>
      <c r="I12" s="6">
        <f t="shared" si="5"/>
        <v>0.25620188195038496</v>
      </c>
      <c r="J12" s="6">
        <f t="shared" si="5"/>
        <v>0.33015087223008027</v>
      </c>
      <c r="K12" s="6">
        <f t="shared" si="5"/>
        <v>0.11147352843465924</v>
      </c>
      <c r="L12" s="8">
        <f t="shared" si="6"/>
        <v>0.46833962464777512</v>
      </c>
    </row>
    <row r="13" spans="1:12" x14ac:dyDescent="0.35">
      <c r="A13" s="6">
        <v>5</v>
      </c>
      <c r="B13" s="6">
        <f t="shared" si="0"/>
        <v>0.80850260416666653</v>
      </c>
      <c r="C13" s="6">
        <f t="shared" si="1"/>
        <v>-1.0879340277777776</v>
      </c>
      <c r="D13" s="6">
        <f t="shared" si="2"/>
        <v>1.6879270833333333</v>
      </c>
      <c r="E13" s="6">
        <f t="shared" si="3"/>
        <v>2.0052734375000001</v>
      </c>
      <c r="F13" s="6">
        <f t="shared" si="4"/>
        <v>1.9986458333333332</v>
      </c>
      <c r="G13" s="6">
        <f t="shared" si="5"/>
        <v>0.21166637141062633</v>
      </c>
      <c r="H13" s="7">
        <f t="shared" si="5"/>
        <v>0.16642463895316362</v>
      </c>
      <c r="I13" s="6">
        <f t="shared" si="5"/>
        <v>0.15427576971260371</v>
      </c>
      <c r="J13" s="6">
        <f t="shared" si="5"/>
        <v>0.11857407227038094</v>
      </c>
      <c r="K13" s="6">
        <f t="shared" si="5"/>
        <v>0.13715015374993478</v>
      </c>
      <c r="L13" s="8">
        <f t="shared" si="6"/>
        <v>0.21166637141062633</v>
      </c>
    </row>
    <row r="14" spans="1:12" ht="15.5" x14ac:dyDescent="0.35">
      <c r="A14" s="5">
        <v>6</v>
      </c>
      <c r="B14" s="6">
        <f t="shared" si="0"/>
        <v>0.85034027777777765</v>
      </c>
      <c r="C14" s="6">
        <f t="shared" si="1"/>
        <v>-1.0384340277777777</v>
      </c>
      <c r="D14" s="6">
        <f t="shared" si="2"/>
        <v>1.8949696180555553</v>
      </c>
      <c r="E14" s="6">
        <f t="shared" si="3"/>
        <v>1.8521239149305555</v>
      </c>
      <c r="F14" s="6">
        <f t="shared" si="4"/>
        <v>1.964630425347222</v>
      </c>
      <c r="G14" s="6">
        <f t="shared" si="5"/>
        <v>4.9201095966484032E-2</v>
      </c>
      <c r="H14" s="7">
        <f t="shared" si="5"/>
        <v>4.766792947446899E-2</v>
      </c>
      <c r="I14" s="6">
        <f t="shared" si="5"/>
        <v>0.10925902597566189</v>
      </c>
      <c r="J14" s="6">
        <f t="shared" si="5"/>
        <v>8.2688594070222804E-2</v>
      </c>
      <c r="K14" s="6">
        <f t="shared" si="5"/>
        <v>1.7313896571717544E-2</v>
      </c>
      <c r="L14" s="8">
        <f t="shared" si="6"/>
        <v>0.10925902597566189</v>
      </c>
    </row>
    <row r="15" spans="1:12" x14ac:dyDescent="0.35">
      <c r="A15" s="6">
        <v>7</v>
      </c>
      <c r="B15" s="6">
        <f t="shared" si="0"/>
        <v>0.79470849609375005</v>
      </c>
      <c r="C15" s="6">
        <f t="shared" si="1"/>
        <v>-1.034415581597222</v>
      </c>
      <c r="D15" s="6">
        <f t="shared" si="2"/>
        <v>1.8309015625000002</v>
      </c>
      <c r="E15" s="6">
        <f t="shared" si="3"/>
        <v>1.9267189670138887</v>
      </c>
      <c r="F15" s="6">
        <f t="shared" si="4"/>
        <v>2.0299284396701389</v>
      </c>
      <c r="G15" s="6">
        <f t="shared" si="5"/>
        <v>7.0002751898936344E-2</v>
      </c>
      <c r="H15" s="7">
        <f t="shared" si="5"/>
        <v>3.8847502416300434E-3</v>
      </c>
      <c r="I15" s="6">
        <f t="shared" si="5"/>
        <v>3.4992627057499191E-2</v>
      </c>
      <c r="J15" s="6">
        <f t="shared" si="5"/>
        <v>3.8716104092203836E-2</v>
      </c>
      <c r="K15" s="6">
        <f t="shared" si="5"/>
        <v>3.2167643472953061E-2</v>
      </c>
      <c r="L15" s="8">
        <f t="shared" si="6"/>
        <v>7.0002751898936344E-2</v>
      </c>
    </row>
    <row r="16" spans="1:12" ht="15.5" x14ac:dyDescent="0.35">
      <c r="A16" s="5">
        <v>8</v>
      </c>
      <c r="B16" s="6">
        <f t="shared" si="0"/>
        <v>0.79339639485677071</v>
      </c>
      <c r="C16" s="6">
        <f t="shared" si="1"/>
        <v>-1.0123626555266203</v>
      </c>
      <c r="D16" s="6">
        <f t="shared" si="2"/>
        <v>1.8803291992187501</v>
      </c>
      <c r="E16" s="6">
        <f t="shared" si="3"/>
        <v>1.8977986192491321</v>
      </c>
      <c r="F16" s="6">
        <f t="shared" si="4"/>
        <v>1.9932534396701391</v>
      </c>
      <c r="G16" s="6">
        <f t="shared" si="5"/>
        <v>1.6537776645887134E-3</v>
      </c>
      <c r="H16" s="7">
        <f t="shared" si="5"/>
        <v>2.1783622647686487E-2</v>
      </c>
      <c r="I16" s="6">
        <f t="shared" si="5"/>
        <v>2.6286693170156753E-2</v>
      </c>
      <c r="J16" s="6">
        <f t="shared" si="5"/>
        <v>1.5238891772510088E-2</v>
      </c>
      <c r="K16" s="6">
        <f t="shared" si="5"/>
        <v>1.8399566894046895E-2</v>
      </c>
      <c r="L16" s="8">
        <f t="shared" si="6"/>
        <v>2.6286693170156753E-2</v>
      </c>
    </row>
    <row r="17" spans="1:12" x14ac:dyDescent="0.35">
      <c r="A17" s="6">
        <v>9</v>
      </c>
      <c r="B17" s="6">
        <f t="shared" si="0"/>
        <v>0.78469500415943261</v>
      </c>
      <c r="C17" s="6">
        <f t="shared" si="1"/>
        <v>-1.005089525462963</v>
      </c>
      <c r="D17" s="6">
        <f t="shared" si="2"/>
        <v>1.8633243849464698</v>
      </c>
      <c r="E17" s="6">
        <f t="shared" si="3"/>
        <v>1.9153407346372253</v>
      </c>
      <c r="F17" s="6">
        <f t="shared" si="4"/>
        <v>2.0018139727557145</v>
      </c>
      <c r="G17" s="6">
        <f t="shared" si="5"/>
        <v>1.1088882497294679E-2</v>
      </c>
      <c r="H17" s="7">
        <f t="shared" si="5"/>
        <v>7.2363007268502998E-3</v>
      </c>
      <c r="I17" s="6">
        <f t="shared" si="5"/>
        <v>9.1260622195790172E-3</v>
      </c>
      <c r="J17" s="6">
        <f t="shared" si="5"/>
        <v>9.1587439617712776E-3</v>
      </c>
      <c r="K17" s="6">
        <f t="shared" si="5"/>
        <v>4.2763879172003465E-3</v>
      </c>
      <c r="L17" s="8">
        <f t="shared" si="6"/>
        <v>1.1088882497294679E-2</v>
      </c>
    </row>
    <row r="18" spans="1:12" ht="15.5" x14ac:dyDescent="0.35">
      <c r="A18" s="5">
        <v>10</v>
      </c>
      <c r="B18" s="6">
        <f>1/4*(6-C17-D17-F17)</f>
        <v>0.78498779194019463</v>
      </c>
      <c r="C18" s="6">
        <f>-1/3*(6+B17-D17-E17)</f>
        <v>-1.0020099615252458</v>
      </c>
      <c r="D18" s="6">
        <f>1/5*(6-2*B17-C17+E17+F17)</f>
        <v>1.8705708449074074</v>
      </c>
      <c r="E18" s="6">
        <f>1/4*(6+B17+C17+D17)</f>
        <v>1.910732465910735</v>
      </c>
      <c r="F18" s="6">
        <f>1/4*(6-2*C17+D17-E17)</f>
        <v>1.9895406753087925</v>
      </c>
      <c r="G18" s="6">
        <f>ABS((B18-B17)/B18)</f>
        <v>3.7298386518644562E-4</v>
      </c>
      <c r="H18" s="7">
        <f>ABS((C18-C17)/C18)</f>
        <v>3.0733865490015434E-3</v>
      </c>
      <c r="I18" s="6">
        <f>ABS((D18-D17)/D18)</f>
        <v>3.8739297047561665E-3</v>
      </c>
      <c r="J18" s="6">
        <f>ABS((E18-E17)/E18)</f>
        <v>2.411781245520338E-3</v>
      </c>
      <c r="K18" s="6">
        <f>ABS((F18-F17)/F18)</f>
        <v>6.1689100400106403E-3</v>
      </c>
      <c r="L18" s="8">
        <f>MAX(G18:K18)</f>
        <v>6.1689100400106403E-3</v>
      </c>
    </row>
    <row r="19" spans="1:12" x14ac:dyDescent="0.35">
      <c r="A19" s="6">
        <v>11</v>
      </c>
      <c r="B19" s="6">
        <f t="shared" ref="B19:B22" si="7">1/4*(6-C18-D18-F18)</f>
        <v>0.78547461032726162</v>
      </c>
      <c r="C19" s="6">
        <f t="shared" ref="C19:C22" si="8">-1/3*(6+B18-D18-E18)</f>
        <v>-1.0012281603740174</v>
      </c>
      <c r="D19" s="6">
        <f t="shared" ref="D19:D22" si="9">1/5*(6-2*B18-C18+E18+F18)</f>
        <v>1.8664615037728769</v>
      </c>
      <c r="E19" s="6">
        <f t="shared" ref="E19:E22" si="10">1/4*(6+B18+C18+D18)</f>
        <v>1.9133871688305888</v>
      </c>
      <c r="F19" s="6">
        <f t="shared" ref="F19:F22" si="11">1/4*(6-2*C18+D18-E18)</f>
        <v>1.9909645755117911</v>
      </c>
      <c r="G19" s="6">
        <f t="shared" ref="G19:K22" si="12">ABS((B19-B18)/B19)</f>
        <v>6.1977609545413651E-4</v>
      </c>
      <c r="H19" s="7">
        <f t="shared" si="12"/>
        <v>7.8084215183913828E-4</v>
      </c>
      <c r="I19" s="6">
        <f t="shared" si="12"/>
        <v>2.2016747338339925E-3</v>
      </c>
      <c r="J19" s="6">
        <f t="shared" si="12"/>
        <v>1.3874363553280733E-3</v>
      </c>
      <c r="K19" s="6">
        <f t="shared" si="12"/>
        <v>7.1518108383847919E-4</v>
      </c>
      <c r="L19" s="8">
        <f t="shared" ref="L19:L22" si="13">MAX(G19:K19)</f>
        <v>2.2016747338339925E-3</v>
      </c>
    </row>
    <row r="20" spans="1:12" ht="15.5" x14ac:dyDescent="0.35">
      <c r="A20" s="5">
        <v>12</v>
      </c>
      <c r="B20" s="6">
        <f t="shared" si="7"/>
        <v>0.78595052027233736</v>
      </c>
      <c r="C20" s="6">
        <f t="shared" si="8"/>
        <v>-1.0018753125745985</v>
      </c>
      <c r="D20" s="6">
        <f t="shared" si="9"/>
        <v>1.8669261368123751</v>
      </c>
      <c r="E20" s="6">
        <f t="shared" si="10"/>
        <v>1.9126769884315302</v>
      </c>
      <c r="F20" s="6">
        <f t="shared" si="11"/>
        <v>1.9888826639225807</v>
      </c>
      <c r="G20" s="6">
        <f t="shared" si="12"/>
        <v>6.0552150905228788E-4</v>
      </c>
      <c r="H20" s="7">
        <f t="shared" si="12"/>
        <v>6.4594085956470285E-4</v>
      </c>
      <c r="I20" s="6">
        <f t="shared" si="12"/>
        <v>2.4887596265136543E-4</v>
      </c>
      <c r="J20" s="6">
        <f t="shared" si="12"/>
        <v>3.7130179499934504E-4</v>
      </c>
      <c r="K20" s="6">
        <f t="shared" si="12"/>
        <v>1.0467744663751463E-3</v>
      </c>
      <c r="L20" s="8">
        <f t="shared" si="13"/>
        <v>1.0467744663751463E-3</v>
      </c>
    </row>
    <row r="21" spans="1:12" x14ac:dyDescent="0.35">
      <c r="A21" s="6">
        <v>13</v>
      </c>
      <c r="B21" s="6">
        <f t="shared" si="7"/>
        <v>0.78651662795991062</v>
      </c>
      <c r="C21" s="6">
        <f t="shared" si="8"/>
        <v>-1.0021157983428104</v>
      </c>
      <c r="D21" s="6">
        <f t="shared" si="9"/>
        <v>1.8663067848768069</v>
      </c>
      <c r="E21" s="6">
        <f t="shared" si="10"/>
        <v>1.9127503361275284</v>
      </c>
      <c r="F21" s="6">
        <f t="shared" si="11"/>
        <v>1.9894999433825107</v>
      </c>
      <c r="G21" s="6">
        <f t="shared" si="12"/>
        <v>7.1976569528052427E-4</v>
      </c>
      <c r="H21" s="7">
        <f t="shared" si="12"/>
        <v>2.3997802310829204E-4</v>
      </c>
      <c r="I21" s="6">
        <f t="shared" si="12"/>
        <v>3.3185966025893834E-4</v>
      </c>
      <c r="J21" s="6">
        <f t="shared" si="12"/>
        <v>3.8346717087344225E-5</v>
      </c>
      <c r="K21" s="6">
        <f t="shared" si="12"/>
        <v>3.1026864915636369E-4</v>
      </c>
      <c r="L21" s="8">
        <f t="shared" si="13"/>
        <v>7.1976569528052427E-4</v>
      </c>
    </row>
    <row r="22" spans="1:12" ht="15.5" x14ac:dyDescent="0.35">
      <c r="A22" s="9">
        <v>14</v>
      </c>
      <c r="B22" s="10">
        <f t="shared" si="7"/>
        <v>0.7865772675208732</v>
      </c>
      <c r="C22" s="10">
        <f t="shared" si="8"/>
        <v>-1.002486502318525</v>
      </c>
      <c r="D22" s="10">
        <f t="shared" si="9"/>
        <v>1.8662665643866057</v>
      </c>
      <c r="E22" s="10">
        <f t="shared" si="10"/>
        <v>1.9126769036234768</v>
      </c>
      <c r="F22" s="10">
        <f t="shared" si="11"/>
        <v>1.9894470113587248</v>
      </c>
      <c r="G22" s="10">
        <f t="shared" si="12"/>
        <v>7.7092948736881699E-5</v>
      </c>
      <c r="H22" s="11">
        <f t="shared" si="12"/>
        <v>3.6978450568385493E-4</v>
      </c>
      <c r="I22" s="10">
        <f t="shared" si="12"/>
        <v>2.1551310498062551E-5</v>
      </c>
      <c r="J22" s="10">
        <f t="shared" si="12"/>
        <v>3.8392529293661276E-5</v>
      </c>
      <c r="K22" s="10">
        <f t="shared" si="12"/>
        <v>2.6606400413608865E-5</v>
      </c>
      <c r="L22" s="12">
        <f t="shared" si="13"/>
        <v>3.6978450568385493E-4</v>
      </c>
    </row>
    <row r="24" spans="1:12" ht="15.5" x14ac:dyDescent="0.35">
      <c r="A24" s="1" t="s">
        <v>0</v>
      </c>
      <c r="B24" s="1"/>
      <c r="C24" t="s">
        <v>1</v>
      </c>
      <c r="D24" s="1" t="s">
        <v>2</v>
      </c>
      <c r="E24" s="1"/>
      <c r="F24" s="1"/>
      <c r="G24" s="2" t="s">
        <v>3</v>
      </c>
      <c r="H24" s="13">
        <v>5.0000000000000001E-3</v>
      </c>
    </row>
    <row r="25" spans="1:12" ht="15.5" x14ac:dyDescent="0.35">
      <c r="A25" s="1" t="s">
        <v>4</v>
      </c>
      <c r="B25" s="1"/>
      <c r="C25" t="s">
        <v>1</v>
      </c>
      <c r="D25" s="1" t="s">
        <v>5</v>
      </c>
      <c r="E25" s="1"/>
      <c r="F25" s="1"/>
      <c r="G25" s="2" t="s">
        <v>6</v>
      </c>
      <c r="H25" s="2">
        <v>20</v>
      </c>
    </row>
    <row r="26" spans="1:12" x14ac:dyDescent="0.35">
      <c r="A26" s="1" t="s">
        <v>7</v>
      </c>
      <c r="B26" s="1"/>
      <c r="C26" t="s">
        <v>1</v>
      </c>
      <c r="D26" s="1" t="s">
        <v>8</v>
      </c>
      <c r="E26" s="1"/>
      <c r="F26" s="1"/>
    </row>
    <row r="27" spans="1:12" x14ac:dyDescent="0.35">
      <c r="A27" s="1" t="s">
        <v>9</v>
      </c>
      <c r="B27" s="1"/>
      <c r="C27" t="s">
        <v>1</v>
      </c>
      <c r="D27" s="1" t="s">
        <v>10</v>
      </c>
      <c r="E27" s="1"/>
      <c r="F27" s="1"/>
    </row>
    <row r="28" spans="1:12" x14ac:dyDescent="0.35">
      <c r="A28" s="1" t="s">
        <v>11</v>
      </c>
      <c r="B28" s="1"/>
      <c r="C28" t="s">
        <v>1</v>
      </c>
      <c r="D28" s="1" t="s">
        <v>12</v>
      </c>
      <c r="E28" s="1"/>
      <c r="F28" s="1"/>
    </row>
    <row r="30" spans="1:12" ht="15.5" x14ac:dyDescent="0.35">
      <c r="A30" s="4" t="s">
        <v>13</v>
      </c>
      <c r="B30" s="4" t="s">
        <v>14</v>
      </c>
      <c r="C30" s="4" t="s">
        <v>15</v>
      </c>
      <c r="D30" s="4" t="s">
        <v>16</v>
      </c>
      <c r="E30" s="4" t="s">
        <v>17</v>
      </c>
      <c r="F30" s="4" t="s">
        <v>18</v>
      </c>
      <c r="G30" s="4" t="s">
        <v>19</v>
      </c>
      <c r="H30" s="4" t="s">
        <v>20</v>
      </c>
      <c r="I30" s="4" t="s">
        <v>21</v>
      </c>
      <c r="J30" s="4" t="s">
        <v>22</v>
      </c>
      <c r="K30" s="4" t="s">
        <v>23</v>
      </c>
      <c r="L30" s="4" t="s">
        <v>24</v>
      </c>
    </row>
    <row r="31" spans="1:12" ht="15.5" x14ac:dyDescent="0.35">
      <c r="A31" s="5">
        <v>0</v>
      </c>
      <c r="B31" s="5">
        <v>1</v>
      </c>
      <c r="C31" s="5">
        <v>2</v>
      </c>
      <c r="D31" s="5">
        <v>3</v>
      </c>
      <c r="E31" s="5">
        <v>4</v>
      </c>
      <c r="F31" s="5">
        <v>6</v>
      </c>
      <c r="G31" s="5"/>
      <c r="H31" s="5"/>
      <c r="I31" s="5"/>
      <c r="J31" s="5"/>
      <c r="K31" s="5"/>
      <c r="L31" s="5"/>
    </row>
    <row r="32" spans="1:12" x14ac:dyDescent="0.35">
      <c r="A32" s="6">
        <v>1</v>
      </c>
      <c r="B32" s="6">
        <f>1/4*(6-C31-D31-F31)</f>
        <v>-1.25</v>
      </c>
      <c r="C32" s="6">
        <f>-1/3*(6+B31-D31-E31)</f>
        <v>0</v>
      </c>
      <c r="D32" s="6">
        <f>1/5*(6-2*B31-C31+E31+F31)</f>
        <v>2.4000000000000004</v>
      </c>
      <c r="E32" s="6">
        <f>1/4*(6+B31+C31+D31)</f>
        <v>3</v>
      </c>
      <c r="F32" s="6">
        <f>1/4*(6-2*C31+D31-E31)</f>
        <v>0.25</v>
      </c>
      <c r="G32" s="6">
        <f>ABS((B32-B31)/B32)</f>
        <v>1.8</v>
      </c>
      <c r="H32" s="7" t="e">
        <f>ABS((C32-C31)/C32)</f>
        <v>#DIV/0!</v>
      </c>
      <c r="I32" s="6">
        <f>ABS((D32-D31)/D32)</f>
        <v>0.24999999999999981</v>
      </c>
      <c r="J32" s="6">
        <f>ABS((E32-E31)/E32)</f>
        <v>0.33333333333333331</v>
      </c>
      <c r="K32" s="6">
        <f>ABS((F32-F31)/F32)</f>
        <v>23</v>
      </c>
      <c r="L32" s="8" t="e">
        <f>MAX(G32:K32)</f>
        <v>#DIV/0!</v>
      </c>
    </row>
    <row r="33" spans="1:12" ht="15.5" x14ac:dyDescent="0.35">
      <c r="A33" s="5">
        <v>2</v>
      </c>
      <c r="B33" s="6">
        <f t="shared" ref="B33:B40" si="14">1/4*(6-C32-D32-F32)</f>
        <v>0.83749999999999991</v>
      </c>
      <c r="C33" s="6">
        <f t="shared" ref="C33:C40" si="15">-1/3*(6+B32-D32-E32)</f>
        <v>0.21666666666666679</v>
      </c>
      <c r="D33" s="6">
        <f t="shared" ref="D33:D40" si="16">1/5*(6-2*B32-C32+E32+F32)</f>
        <v>2.35</v>
      </c>
      <c r="E33" s="6">
        <f t="shared" ref="E33:E40" si="17">1/4*(6+B32+C32+D32)</f>
        <v>1.7875000000000001</v>
      </c>
      <c r="F33" s="6">
        <f t="shared" ref="F33:F40" si="18">1/4*(6-2*C32+D32-E32)</f>
        <v>1.35</v>
      </c>
      <c r="G33" s="6">
        <f t="shared" ref="G33:K40" si="19">ABS((B33-B32)/B33)</f>
        <v>2.4925373134328361</v>
      </c>
      <c r="H33" s="7">
        <f t="shared" si="19"/>
        <v>1</v>
      </c>
      <c r="I33" s="6">
        <f t="shared" si="19"/>
        <v>2.1276595744680965E-2</v>
      </c>
      <c r="J33" s="6">
        <f t="shared" si="19"/>
        <v>0.67832167832167822</v>
      </c>
      <c r="K33" s="6">
        <f t="shared" si="19"/>
        <v>0.81481481481481488</v>
      </c>
      <c r="L33" s="8">
        <f t="shared" ref="L33:L40" si="20">MAX(G33:K33)</f>
        <v>2.4925373134328361</v>
      </c>
    </row>
    <row r="34" spans="1:12" x14ac:dyDescent="0.35">
      <c r="A34" s="6">
        <v>3</v>
      </c>
      <c r="B34" s="6">
        <f t="shared" si="14"/>
        <v>0.52083333333333326</v>
      </c>
      <c r="C34" s="6">
        <f t="shared" si="15"/>
        <v>-0.90000000000000013</v>
      </c>
      <c r="D34" s="6">
        <f t="shared" si="16"/>
        <v>1.4491666666666667</v>
      </c>
      <c r="E34" s="6">
        <f t="shared" si="17"/>
        <v>2.3510416666666667</v>
      </c>
      <c r="F34" s="6">
        <f t="shared" si="18"/>
        <v>1.5322916666666666</v>
      </c>
      <c r="G34" s="6">
        <f t="shared" si="19"/>
        <v>0.6080000000000001</v>
      </c>
      <c r="H34" s="7">
        <f t="shared" si="19"/>
        <v>1.2407407407407409</v>
      </c>
      <c r="I34" s="6">
        <f t="shared" si="19"/>
        <v>0.6216216216216216</v>
      </c>
      <c r="J34" s="6">
        <f t="shared" si="19"/>
        <v>0.23969871510855115</v>
      </c>
      <c r="K34" s="6">
        <f t="shared" si="19"/>
        <v>0.11896668932698835</v>
      </c>
      <c r="L34" s="8">
        <f t="shared" si="20"/>
        <v>1.2407407407407409</v>
      </c>
    </row>
    <row r="35" spans="1:12" ht="15.5" x14ac:dyDescent="0.35">
      <c r="A35" s="5">
        <v>4</v>
      </c>
      <c r="B35" s="6">
        <f t="shared" si="14"/>
        <v>0.97963541666666676</v>
      </c>
      <c r="C35" s="6">
        <f t="shared" si="15"/>
        <v>-0.90687499999999988</v>
      </c>
      <c r="D35" s="6">
        <f t="shared" si="16"/>
        <v>1.9483333333333335</v>
      </c>
      <c r="E35" s="6">
        <f t="shared" si="17"/>
        <v>1.7674999999999998</v>
      </c>
      <c r="F35" s="6">
        <f t="shared" si="18"/>
        <v>1.7245312500000001</v>
      </c>
      <c r="G35" s="6">
        <f t="shared" si="19"/>
        <v>0.46833962464777512</v>
      </c>
      <c r="H35" s="7">
        <f t="shared" si="19"/>
        <v>7.5809786354235622E-3</v>
      </c>
      <c r="I35" s="6">
        <f t="shared" si="19"/>
        <v>0.25620188195038496</v>
      </c>
      <c r="J35" s="6">
        <f t="shared" si="19"/>
        <v>0.33015087223008027</v>
      </c>
      <c r="K35" s="6">
        <f t="shared" si="19"/>
        <v>0.11147352843465924</v>
      </c>
      <c r="L35" s="8">
        <f t="shared" si="20"/>
        <v>0.46833962464777512</v>
      </c>
    </row>
    <row r="36" spans="1:12" x14ac:dyDescent="0.35">
      <c r="A36" s="6">
        <v>5</v>
      </c>
      <c r="B36" s="6">
        <f t="shared" si="14"/>
        <v>0.80850260416666653</v>
      </c>
      <c r="C36" s="6">
        <f t="shared" si="15"/>
        <v>-1.0879340277777776</v>
      </c>
      <c r="D36" s="6">
        <f t="shared" si="16"/>
        <v>1.6879270833333333</v>
      </c>
      <c r="E36" s="6">
        <f t="shared" si="17"/>
        <v>2.0052734375000001</v>
      </c>
      <c r="F36" s="6">
        <f t="shared" si="18"/>
        <v>1.9986458333333332</v>
      </c>
      <c r="G36" s="6">
        <f t="shared" si="19"/>
        <v>0.21166637141062633</v>
      </c>
      <c r="H36" s="7">
        <f t="shared" si="19"/>
        <v>0.16642463895316362</v>
      </c>
      <c r="I36" s="6">
        <f t="shared" si="19"/>
        <v>0.15427576971260371</v>
      </c>
      <c r="J36" s="6">
        <f t="shared" si="19"/>
        <v>0.11857407227038094</v>
      </c>
      <c r="K36" s="6">
        <f t="shared" si="19"/>
        <v>0.13715015374993478</v>
      </c>
      <c r="L36" s="8">
        <f t="shared" si="20"/>
        <v>0.21166637141062633</v>
      </c>
    </row>
    <row r="37" spans="1:12" ht="15.5" x14ac:dyDescent="0.35">
      <c r="A37" s="5">
        <v>6</v>
      </c>
      <c r="B37" s="6">
        <f t="shared" si="14"/>
        <v>0.85034027777777765</v>
      </c>
      <c r="C37" s="6">
        <f t="shared" si="15"/>
        <v>-1.0384340277777777</v>
      </c>
      <c r="D37" s="6">
        <f t="shared" si="16"/>
        <v>1.8949696180555553</v>
      </c>
      <c r="E37" s="6">
        <f t="shared" si="17"/>
        <v>1.8521239149305555</v>
      </c>
      <c r="F37" s="6">
        <f t="shared" si="18"/>
        <v>1.964630425347222</v>
      </c>
      <c r="G37" s="6">
        <f t="shared" si="19"/>
        <v>4.9201095966484032E-2</v>
      </c>
      <c r="H37" s="7">
        <f t="shared" si="19"/>
        <v>4.766792947446899E-2</v>
      </c>
      <c r="I37" s="6">
        <f t="shared" si="19"/>
        <v>0.10925902597566189</v>
      </c>
      <c r="J37" s="6">
        <f t="shared" si="19"/>
        <v>8.2688594070222804E-2</v>
      </c>
      <c r="K37" s="6">
        <f t="shared" si="19"/>
        <v>1.7313896571717544E-2</v>
      </c>
      <c r="L37" s="8">
        <f t="shared" si="20"/>
        <v>0.10925902597566189</v>
      </c>
    </row>
    <row r="38" spans="1:12" x14ac:dyDescent="0.35">
      <c r="A38" s="6">
        <v>7</v>
      </c>
      <c r="B38" s="6">
        <f t="shared" si="14"/>
        <v>0.79470849609375005</v>
      </c>
      <c r="C38" s="6">
        <f t="shared" si="15"/>
        <v>-1.034415581597222</v>
      </c>
      <c r="D38" s="6">
        <f t="shared" si="16"/>
        <v>1.8309015625000002</v>
      </c>
      <c r="E38" s="6">
        <f t="shared" si="17"/>
        <v>1.9267189670138887</v>
      </c>
      <c r="F38" s="6">
        <f t="shared" si="18"/>
        <v>2.0299284396701389</v>
      </c>
      <c r="G38" s="6">
        <f t="shared" si="19"/>
        <v>7.0002751898936344E-2</v>
      </c>
      <c r="H38" s="7">
        <f t="shared" si="19"/>
        <v>3.8847502416300434E-3</v>
      </c>
      <c r="I38" s="6">
        <f t="shared" si="19"/>
        <v>3.4992627057499191E-2</v>
      </c>
      <c r="J38" s="6">
        <f t="shared" si="19"/>
        <v>3.8716104092203836E-2</v>
      </c>
      <c r="K38" s="6">
        <f t="shared" si="19"/>
        <v>3.2167643472953061E-2</v>
      </c>
      <c r="L38" s="8">
        <f t="shared" si="20"/>
        <v>7.0002751898936344E-2</v>
      </c>
    </row>
    <row r="39" spans="1:12" ht="15.5" x14ac:dyDescent="0.35">
      <c r="A39" s="5">
        <v>8</v>
      </c>
      <c r="B39" s="6">
        <f t="shared" si="14"/>
        <v>0.79339639485677071</v>
      </c>
      <c r="C39" s="6">
        <f t="shared" si="15"/>
        <v>-1.0123626555266203</v>
      </c>
      <c r="D39" s="6">
        <f t="shared" si="16"/>
        <v>1.8803291992187501</v>
      </c>
      <c r="E39" s="6">
        <f t="shared" si="17"/>
        <v>1.8977986192491321</v>
      </c>
      <c r="F39" s="6">
        <f t="shared" si="18"/>
        <v>1.9932534396701391</v>
      </c>
      <c r="G39" s="6">
        <f t="shared" si="19"/>
        <v>1.6537776645887134E-3</v>
      </c>
      <c r="H39" s="7">
        <f t="shared" si="19"/>
        <v>2.1783622647686487E-2</v>
      </c>
      <c r="I39" s="6">
        <f t="shared" si="19"/>
        <v>2.6286693170156753E-2</v>
      </c>
      <c r="J39" s="6">
        <f t="shared" si="19"/>
        <v>1.5238891772510088E-2</v>
      </c>
      <c r="K39" s="6">
        <f t="shared" si="19"/>
        <v>1.8399566894046895E-2</v>
      </c>
      <c r="L39" s="8">
        <f t="shared" si="20"/>
        <v>2.6286693170156753E-2</v>
      </c>
    </row>
    <row r="40" spans="1:12" x14ac:dyDescent="0.35">
      <c r="A40" s="6">
        <v>9</v>
      </c>
      <c r="B40" s="6">
        <f t="shared" si="14"/>
        <v>0.78469500415943261</v>
      </c>
      <c r="C40" s="6">
        <f t="shared" si="15"/>
        <v>-1.005089525462963</v>
      </c>
      <c r="D40" s="6">
        <f t="shared" si="16"/>
        <v>1.8633243849464698</v>
      </c>
      <c r="E40" s="6">
        <f t="shared" si="17"/>
        <v>1.9153407346372253</v>
      </c>
      <c r="F40" s="6">
        <f t="shared" si="18"/>
        <v>2.0018139727557145</v>
      </c>
      <c r="G40" s="6">
        <f t="shared" si="19"/>
        <v>1.1088882497294679E-2</v>
      </c>
      <c r="H40" s="7">
        <f t="shared" si="19"/>
        <v>7.2363007268502998E-3</v>
      </c>
      <c r="I40" s="6">
        <f t="shared" si="19"/>
        <v>9.1260622195790172E-3</v>
      </c>
      <c r="J40" s="6">
        <f t="shared" si="19"/>
        <v>9.1587439617712776E-3</v>
      </c>
      <c r="K40" s="6">
        <f t="shared" si="19"/>
        <v>4.2763879172003465E-3</v>
      </c>
      <c r="L40" s="8">
        <f t="shared" si="20"/>
        <v>1.1088882497294679E-2</v>
      </c>
    </row>
    <row r="41" spans="1:12" ht="15.5" x14ac:dyDescent="0.35">
      <c r="A41" s="5">
        <v>10</v>
      </c>
      <c r="B41" s="6">
        <f>1/4*(6-C40-D40-F40)</f>
        <v>0.78498779194019463</v>
      </c>
      <c r="C41" s="6">
        <f>-1/3*(6+B40-D40-E40)</f>
        <v>-1.0020099615252458</v>
      </c>
      <c r="D41" s="6">
        <f>1/5*(6-2*B40-C40+E40+F40)</f>
        <v>1.8705708449074074</v>
      </c>
      <c r="E41" s="6">
        <f>1/4*(6+B40+C40+D40)</f>
        <v>1.910732465910735</v>
      </c>
      <c r="F41" s="6">
        <f>1/4*(6-2*C40+D40-E40)</f>
        <v>1.9895406753087925</v>
      </c>
      <c r="G41" s="6">
        <f>ABS((B41-B40)/B41)</f>
        <v>3.7298386518644562E-4</v>
      </c>
      <c r="H41" s="7">
        <f>ABS((C41-C40)/C41)</f>
        <v>3.0733865490015434E-3</v>
      </c>
      <c r="I41" s="6">
        <f>ABS((D41-D40)/D41)</f>
        <v>3.8739297047561665E-3</v>
      </c>
      <c r="J41" s="6">
        <f>ABS((E41-E40)/E41)</f>
        <v>2.411781245520338E-3</v>
      </c>
      <c r="K41" s="6">
        <f>ABS((F41-F40)/F41)</f>
        <v>6.1689100400106403E-3</v>
      </c>
      <c r="L41" s="8">
        <f>MAX(G41:K41)</f>
        <v>6.1689100400106403E-3</v>
      </c>
    </row>
    <row r="42" spans="1:12" x14ac:dyDescent="0.35">
      <c r="A42" s="10">
        <v>11</v>
      </c>
      <c r="B42" s="10">
        <f t="shared" ref="B42" si="21">1/4*(6-C41-D41-F41)</f>
        <v>0.78547461032726162</v>
      </c>
      <c r="C42" s="10">
        <f t="shared" ref="C42" si="22">-1/3*(6+B41-D41-E41)</f>
        <v>-1.0012281603740174</v>
      </c>
      <c r="D42" s="10">
        <f t="shared" ref="D42" si="23">1/5*(6-2*B41-C41+E41+F41)</f>
        <v>1.8664615037728769</v>
      </c>
      <c r="E42" s="10">
        <f t="shared" ref="E42" si="24">1/4*(6+B41+C41+D41)</f>
        <v>1.9133871688305888</v>
      </c>
      <c r="F42" s="10">
        <f t="shared" ref="F42" si="25">1/4*(6-2*C41+D41-E41)</f>
        <v>1.9909645755117911</v>
      </c>
      <c r="G42" s="10">
        <f t="shared" ref="G42:K42" si="26">ABS((B42-B41)/B42)</f>
        <v>6.1977609545413651E-4</v>
      </c>
      <c r="H42" s="11">
        <f t="shared" si="26"/>
        <v>7.8084215183913828E-4</v>
      </c>
      <c r="I42" s="10">
        <f t="shared" si="26"/>
        <v>2.2016747338339925E-3</v>
      </c>
      <c r="J42" s="10">
        <f t="shared" si="26"/>
        <v>1.3874363553280733E-3</v>
      </c>
      <c r="K42" s="10">
        <f t="shared" si="26"/>
        <v>7.1518108383847919E-4</v>
      </c>
      <c r="L42" s="12">
        <f t="shared" ref="L42" si="27">MAX(G42:K42)</f>
        <v>2.2016747338339925E-3</v>
      </c>
    </row>
    <row r="44" spans="1:12" ht="15.5" x14ac:dyDescent="0.35">
      <c r="A44" s="1" t="s">
        <v>0</v>
      </c>
      <c r="B44" s="1"/>
      <c r="C44" t="s">
        <v>1</v>
      </c>
      <c r="D44" s="1" t="s">
        <v>2</v>
      </c>
      <c r="E44" s="1"/>
      <c r="F44" s="1"/>
      <c r="G44" s="2" t="s">
        <v>3</v>
      </c>
      <c r="H44" s="3">
        <v>1E-4</v>
      </c>
    </row>
    <row r="45" spans="1:12" ht="15.5" x14ac:dyDescent="0.35">
      <c r="A45" s="1" t="s">
        <v>4</v>
      </c>
      <c r="B45" s="1"/>
      <c r="C45" t="s">
        <v>1</v>
      </c>
      <c r="D45" s="1" t="s">
        <v>5</v>
      </c>
      <c r="E45" s="1"/>
      <c r="F45" s="1"/>
      <c r="G45" s="2" t="s">
        <v>6</v>
      </c>
      <c r="H45" s="2">
        <v>20</v>
      </c>
    </row>
    <row r="46" spans="1:12" x14ac:dyDescent="0.35">
      <c r="A46" s="1" t="s">
        <v>7</v>
      </c>
      <c r="B46" s="1"/>
      <c r="C46" t="s">
        <v>1</v>
      </c>
      <c r="D46" s="1" t="s">
        <v>8</v>
      </c>
      <c r="E46" s="1"/>
      <c r="F46" s="1"/>
    </row>
    <row r="47" spans="1:12" x14ac:dyDescent="0.35">
      <c r="A47" s="1" t="s">
        <v>9</v>
      </c>
      <c r="B47" s="1"/>
      <c r="C47" t="s">
        <v>1</v>
      </c>
      <c r="D47" s="1" t="s">
        <v>10</v>
      </c>
      <c r="E47" s="1"/>
      <c r="F47" s="1"/>
    </row>
    <row r="48" spans="1:12" x14ac:dyDescent="0.35">
      <c r="A48" s="1" t="s">
        <v>11</v>
      </c>
      <c r="B48" s="1"/>
      <c r="C48" t="s">
        <v>1</v>
      </c>
      <c r="D48" s="1" t="s">
        <v>12</v>
      </c>
      <c r="E48" s="1"/>
      <c r="F48" s="1"/>
    </row>
    <row r="50" spans="1:12" ht="15.5" x14ac:dyDescent="0.35">
      <c r="A50" s="4" t="s">
        <v>13</v>
      </c>
      <c r="B50" s="4" t="s">
        <v>14</v>
      </c>
      <c r="C50" s="4" t="s">
        <v>15</v>
      </c>
      <c r="D50" s="4" t="s">
        <v>16</v>
      </c>
      <c r="E50" s="4" t="s">
        <v>17</v>
      </c>
      <c r="F50" s="4" t="s">
        <v>18</v>
      </c>
      <c r="G50" s="4" t="s">
        <v>19</v>
      </c>
      <c r="H50" s="4" t="s">
        <v>20</v>
      </c>
      <c r="I50" s="4" t="s">
        <v>21</v>
      </c>
      <c r="J50" s="4" t="s">
        <v>22</v>
      </c>
      <c r="K50" s="4" t="s">
        <v>23</v>
      </c>
      <c r="L50" s="4" t="s">
        <v>24</v>
      </c>
    </row>
    <row r="51" spans="1:12" ht="15.5" x14ac:dyDescent="0.35">
      <c r="A51" s="5">
        <v>0</v>
      </c>
      <c r="B51" s="5">
        <v>1</v>
      </c>
      <c r="C51" s="5">
        <v>2</v>
      </c>
      <c r="D51" s="5">
        <v>3</v>
      </c>
      <c r="E51" s="5">
        <v>4</v>
      </c>
      <c r="F51" s="5">
        <v>6</v>
      </c>
      <c r="G51" s="5"/>
      <c r="H51" s="5"/>
      <c r="I51" s="5"/>
      <c r="J51" s="5"/>
      <c r="K51" s="5"/>
      <c r="L51" s="5"/>
    </row>
    <row r="52" spans="1:12" x14ac:dyDescent="0.35">
      <c r="A52" s="6">
        <v>1</v>
      </c>
      <c r="B52" s="6">
        <f>1/4*(6-C51-D51-F51)</f>
        <v>-1.25</v>
      </c>
      <c r="C52" s="6">
        <f>-1/3*(6+B51-D51-E51)</f>
        <v>0</v>
      </c>
      <c r="D52" s="6">
        <f>1/5*(6-2*B51-C51+E51+F51)</f>
        <v>2.4000000000000004</v>
      </c>
      <c r="E52" s="6">
        <f>1/4*(6+B51+C51+D51)</f>
        <v>3</v>
      </c>
      <c r="F52" s="6">
        <f>1/4*(6-2*C51+D51-E51)</f>
        <v>0.25</v>
      </c>
      <c r="G52" s="6">
        <f>ABS((B52-B51)/B52)</f>
        <v>1.8</v>
      </c>
      <c r="H52" s="7" t="e">
        <f>ABS((C52-C51)/C52)</f>
        <v>#DIV/0!</v>
      </c>
      <c r="I52" s="6">
        <f>ABS((D52-D51)/D52)</f>
        <v>0.24999999999999981</v>
      </c>
      <c r="J52" s="6">
        <f>ABS((E52-E51)/E52)</f>
        <v>0.33333333333333331</v>
      </c>
      <c r="K52" s="6">
        <f>ABS((F52-F51)/F52)</f>
        <v>23</v>
      </c>
      <c r="L52" s="8" t="e">
        <f>MAX(G52:K52)</f>
        <v>#DIV/0!</v>
      </c>
    </row>
    <row r="53" spans="1:12" ht="15.5" x14ac:dyDescent="0.35">
      <c r="A53" s="5">
        <v>2</v>
      </c>
      <c r="B53" s="6">
        <f t="shared" ref="B53:B60" si="28">1/4*(6-C52-D52-F52)</f>
        <v>0.83749999999999991</v>
      </c>
      <c r="C53" s="6">
        <f t="shared" ref="C53:C60" si="29">-1/3*(6+B52-D52-E52)</f>
        <v>0.21666666666666679</v>
      </c>
      <c r="D53" s="6">
        <f t="shared" ref="D53:D60" si="30">1/5*(6-2*B52-C52+E52+F52)</f>
        <v>2.35</v>
      </c>
      <c r="E53" s="6">
        <f t="shared" ref="E53:E60" si="31">1/4*(6+B52+C52+D52)</f>
        <v>1.7875000000000001</v>
      </c>
      <c r="F53" s="6">
        <f t="shared" ref="F53:F60" si="32">1/4*(6-2*C52+D52-E52)</f>
        <v>1.35</v>
      </c>
      <c r="G53" s="6">
        <f t="shared" ref="G53:K60" si="33">ABS((B53-B52)/B53)</f>
        <v>2.4925373134328361</v>
      </c>
      <c r="H53" s="7">
        <f t="shared" si="33"/>
        <v>1</v>
      </c>
      <c r="I53" s="6">
        <f t="shared" si="33"/>
        <v>2.1276595744680965E-2</v>
      </c>
      <c r="J53" s="6">
        <f t="shared" si="33"/>
        <v>0.67832167832167822</v>
      </c>
      <c r="K53" s="6">
        <f t="shared" si="33"/>
        <v>0.81481481481481488</v>
      </c>
      <c r="L53" s="8">
        <f t="shared" ref="L53:L60" si="34">MAX(G53:K53)</f>
        <v>2.4925373134328361</v>
      </c>
    </row>
    <row r="54" spans="1:12" x14ac:dyDescent="0.35">
      <c r="A54" s="6">
        <v>3</v>
      </c>
      <c r="B54" s="6">
        <f t="shared" si="28"/>
        <v>0.52083333333333326</v>
      </c>
      <c r="C54" s="6">
        <f t="shared" si="29"/>
        <v>-0.90000000000000013</v>
      </c>
      <c r="D54" s="6">
        <f t="shared" si="30"/>
        <v>1.4491666666666667</v>
      </c>
      <c r="E54" s="6">
        <f t="shared" si="31"/>
        <v>2.3510416666666667</v>
      </c>
      <c r="F54" s="6">
        <f t="shared" si="32"/>
        <v>1.5322916666666666</v>
      </c>
      <c r="G54" s="6">
        <f t="shared" si="33"/>
        <v>0.6080000000000001</v>
      </c>
      <c r="H54" s="7">
        <f t="shared" si="33"/>
        <v>1.2407407407407409</v>
      </c>
      <c r="I54" s="6">
        <f t="shared" si="33"/>
        <v>0.6216216216216216</v>
      </c>
      <c r="J54" s="6">
        <f t="shared" si="33"/>
        <v>0.23969871510855115</v>
      </c>
      <c r="K54" s="6">
        <f t="shared" si="33"/>
        <v>0.11896668932698835</v>
      </c>
      <c r="L54" s="8">
        <f t="shared" si="34"/>
        <v>1.2407407407407409</v>
      </c>
    </row>
    <row r="55" spans="1:12" ht="15.5" x14ac:dyDescent="0.35">
      <c r="A55" s="5">
        <v>4</v>
      </c>
      <c r="B55" s="6">
        <f t="shared" si="28"/>
        <v>0.97963541666666676</v>
      </c>
      <c r="C55" s="6">
        <f t="shared" si="29"/>
        <v>-0.90687499999999988</v>
      </c>
      <c r="D55" s="6">
        <f t="shared" si="30"/>
        <v>1.9483333333333335</v>
      </c>
      <c r="E55" s="6">
        <f t="shared" si="31"/>
        <v>1.7674999999999998</v>
      </c>
      <c r="F55" s="6">
        <f t="shared" si="32"/>
        <v>1.7245312500000001</v>
      </c>
      <c r="G55" s="6">
        <f t="shared" si="33"/>
        <v>0.46833962464777512</v>
      </c>
      <c r="H55" s="7">
        <f t="shared" si="33"/>
        <v>7.5809786354235622E-3</v>
      </c>
      <c r="I55" s="6">
        <f t="shared" si="33"/>
        <v>0.25620188195038496</v>
      </c>
      <c r="J55" s="6">
        <f t="shared" si="33"/>
        <v>0.33015087223008027</v>
      </c>
      <c r="K55" s="6">
        <f t="shared" si="33"/>
        <v>0.11147352843465924</v>
      </c>
      <c r="L55" s="8">
        <f t="shared" si="34"/>
        <v>0.46833962464777512</v>
      </c>
    </row>
    <row r="56" spans="1:12" x14ac:dyDescent="0.35">
      <c r="A56" s="6">
        <v>5</v>
      </c>
      <c r="B56" s="6">
        <f t="shared" si="28"/>
        <v>0.80850260416666653</v>
      </c>
      <c r="C56" s="6">
        <f t="shared" si="29"/>
        <v>-1.0879340277777776</v>
      </c>
      <c r="D56" s="6">
        <f t="shared" si="30"/>
        <v>1.6879270833333333</v>
      </c>
      <c r="E56" s="6">
        <f t="shared" si="31"/>
        <v>2.0052734375000001</v>
      </c>
      <c r="F56" s="6">
        <f t="shared" si="32"/>
        <v>1.9986458333333332</v>
      </c>
      <c r="G56" s="6">
        <f t="shared" si="33"/>
        <v>0.21166637141062633</v>
      </c>
      <c r="H56" s="7">
        <f t="shared" si="33"/>
        <v>0.16642463895316362</v>
      </c>
      <c r="I56" s="6">
        <f t="shared" si="33"/>
        <v>0.15427576971260371</v>
      </c>
      <c r="J56" s="6">
        <f t="shared" si="33"/>
        <v>0.11857407227038094</v>
      </c>
      <c r="K56" s="6">
        <f t="shared" si="33"/>
        <v>0.13715015374993478</v>
      </c>
      <c r="L56" s="8">
        <f t="shared" si="34"/>
        <v>0.21166637141062633</v>
      </c>
    </row>
    <row r="57" spans="1:12" ht="15.5" x14ac:dyDescent="0.35">
      <c r="A57" s="5">
        <v>6</v>
      </c>
      <c r="B57" s="6">
        <f t="shared" si="28"/>
        <v>0.85034027777777765</v>
      </c>
      <c r="C57" s="6">
        <f t="shared" si="29"/>
        <v>-1.0384340277777777</v>
      </c>
      <c r="D57" s="6">
        <f t="shared" si="30"/>
        <v>1.8949696180555553</v>
      </c>
      <c r="E57" s="6">
        <f t="shared" si="31"/>
        <v>1.8521239149305555</v>
      </c>
      <c r="F57" s="6">
        <f t="shared" si="32"/>
        <v>1.964630425347222</v>
      </c>
      <c r="G57" s="6">
        <f t="shared" si="33"/>
        <v>4.9201095966484032E-2</v>
      </c>
      <c r="H57" s="7">
        <f t="shared" si="33"/>
        <v>4.766792947446899E-2</v>
      </c>
      <c r="I57" s="6">
        <f t="shared" si="33"/>
        <v>0.10925902597566189</v>
      </c>
      <c r="J57" s="6">
        <f t="shared" si="33"/>
        <v>8.2688594070222804E-2</v>
      </c>
      <c r="K57" s="6">
        <f t="shared" si="33"/>
        <v>1.7313896571717544E-2</v>
      </c>
      <c r="L57" s="8">
        <f t="shared" si="34"/>
        <v>0.10925902597566189</v>
      </c>
    </row>
    <row r="58" spans="1:12" x14ac:dyDescent="0.35">
      <c r="A58" s="6">
        <v>7</v>
      </c>
      <c r="B58" s="6">
        <f t="shared" si="28"/>
        <v>0.79470849609375005</v>
      </c>
      <c r="C58" s="6">
        <f t="shared" si="29"/>
        <v>-1.034415581597222</v>
      </c>
      <c r="D58" s="6">
        <f t="shared" si="30"/>
        <v>1.8309015625000002</v>
      </c>
      <c r="E58" s="6">
        <f t="shared" si="31"/>
        <v>1.9267189670138887</v>
      </c>
      <c r="F58" s="6">
        <f t="shared" si="32"/>
        <v>2.0299284396701389</v>
      </c>
      <c r="G58" s="6">
        <f t="shared" si="33"/>
        <v>7.0002751898936344E-2</v>
      </c>
      <c r="H58" s="7">
        <f t="shared" si="33"/>
        <v>3.8847502416300434E-3</v>
      </c>
      <c r="I58" s="6">
        <f t="shared" si="33"/>
        <v>3.4992627057499191E-2</v>
      </c>
      <c r="J58" s="6">
        <f t="shared" si="33"/>
        <v>3.8716104092203836E-2</v>
      </c>
      <c r="K58" s="6">
        <f t="shared" si="33"/>
        <v>3.2167643472953061E-2</v>
      </c>
      <c r="L58" s="8">
        <f t="shared" si="34"/>
        <v>7.0002751898936344E-2</v>
      </c>
    </row>
    <row r="59" spans="1:12" ht="15.5" x14ac:dyDescent="0.35">
      <c r="A59" s="5">
        <v>8</v>
      </c>
      <c r="B59" s="6">
        <f t="shared" si="28"/>
        <v>0.79339639485677071</v>
      </c>
      <c r="C59" s="6">
        <f t="shared" si="29"/>
        <v>-1.0123626555266203</v>
      </c>
      <c r="D59" s="6">
        <f t="shared" si="30"/>
        <v>1.8803291992187501</v>
      </c>
      <c r="E59" s="6">
        <f t="shared" si="31"/>
        <v>1.8977986192491321</v>
      </c>
      <c r="F59" s="6">
        <f t="shared" si="32"/>
        <v>1.9932534396701391</v>
      </c>
      <c r="G59" s="6">
        <f t="shared" si="33"/>
        <v>1.6537776645887134E-3</v>
      </c>
      <c r="H59" s="7">
        <f t="shared" si="33"/>
        <v>2.1783622647686487E-2</v>
      </c>
      <c r="I59" s="6">
        <f t="shared" si="33"/>
        <v>2.6286693170156753E-2</v>
      </c>
      <c r="J59" s="6">
        <f t="shared" si="33"/>
        <v>1.5238891772510088E-2</v>
      </c>
      <c r="K59" s="6">
        <f t="shared" si="33"/>
        <v>1.8399566894046895E-2</v>
      </c>
      <c r="L59" s="8">
        <f t="shared" si="34"/>
        <v>2.6286693170156753E-2</v>
      </c>
    </row>
    <row r="60" spans="1:12" x14ac:dyDescent="0.35">
      <c r="A60" s="6">
        <v>9</v>
      </c>
      <c r="B60" s="6">
        <f t="shared" si="28"/>
        <v>0.78469500415943261</v>
      </c>
      <c r="C60" s="6">
        <f t="shared" si="29"/>
        <v>-1.005089525462963</v>
      </c>
      <c r="D60" s="6">
        <f t="shared" si="30"/>
        <v>1.8633243849464698</v>
      </c>
      <c r="E60" s="6">
        <f t="shared" si="31"/>
        <v>1.9153407346372253</v>
      </c>
      <c r="F60" s="6">
        <f t="shared" si="32"/>
        <v>2.0018139727557145</v>
      </c>
      <c r="G60" s="6">
        <f t="shared" si="33"/>
        <v>1.1088882497294679E-2</v>
      </c>
      <c r="H60" s="7">
        <f t="shared" si="33"/>
        <v>7.2363007268502998E-3</v>
      </c>
      <c r="I60" s="6">
        <f t="shared" si="33"/>
        <v>9.1260622195790172E-3</v>
      </c>
      <c r="J60" s="6">
        <f t="shared" si="33"/>
        <v>9.1587439617712776E-3</v>
      </c>
      <c r="K60" s="6">
        <f t="shared" si="33"/>
        <v>4.2763879172003465E-3</v>
      </c>
      <c r="L60" s="8">
        <f t="shared" si="34"/>
        <v>1.1088882497294679E-2</v>
      </c>
    </row>
    <row r="61" spans="1:12" ht="15.5" x14ac:dyDescent="0.35">
      <c r="A61" s="5">
        <v>10</v>
      </c>
      <c r="B61" s="6">
        <f>1/4*(6-C60-D60-F60)</f>
        <v>0.78498779194019463</v>
      </c>
      <c r="C61" s="6">
        <f>-1/3*(6+B60-D60-E60)</f>
        <v>-1.0020099615252458</v>
      </c>
      <c r="D61" s="6">
        <f>1/5*(6-2*B60-C60+E60+F60)</f>
        <v>1.8705708449074074</v>
      </c>
      <c r="E61" s="6">
        <f>1/4*(6+B60+C60+D60)</f>
        <v>1.910732465910735</v>
      </c>
      <c r="F61" s="6">
        <f>1/4*(6-2*C60+D60-E60)</f>
        <v>1.9895406753087925</v>
      </c>
      <c r="G61" s="6">
        <f>ABS((B61-B60)/B61)</f>
        <v>3.7298386518644562E-4</v>
      </c>
      <c r="H61" s="7">
        <f>ABS((C61-C60)/C61)</f>
        <v>3.0733865490015434E-3</v>
      </c>
      <c r="I61" s="6">
        <f>ABS((D61-D60)/D61)</f>
        <v>3.8739297047561665E-3</v>
      </c>
      <c r="J61" s="6">
        <f>ABS((E61-E60)/E61)</f>
        <v>2.411781245520338E-3</v>
      </c>
      <c r="K61" s="6">
        <f>ABS((F61-F60)/F61)</f>
        <v>6.1689100400106403E-3</v>
      </c>
      <c r="L61" s="8">
        <f>MAX(G61:K61)</f>
        <v>6.1689100400106403E-3</v>
      </c>
    </row>
    <row r="62" spans="1:12" x14ac:dyDescent="0.35">
      <c r="A62" s="14">
        <v>11</v>
      </c>
      <c r="B62" s="14">
        <f t="shared" ref="B62:B67" si="35">1/4*(6-C61-D61-F61)</f>
        <v>0.78547461032726162</v>
      </c>
      <c r="C62" s="14">
        <f t="shared" ref="C62:C67" si="36">-1/3*(6+B61-D61-E61)</f>
        <v>-1.0012281603740174</v>
      </c>
      <c r="D62" s="14">
        <f t="shared" ref="D62:D67" si="37">1/5*(6-2*B61-C61+E61+F61)</f>
        <v>1.8664615037728769</v>
      </c>
      <c r="E62" s="14">
        <f t="shared" ref="E62:E67" si="38">1/4*(6+B61+C61+D61)</f>
        <v>1.9133871688305888</v>
      </c>
      <c r="F62" s="14">
        <f t="shared" ref="F62:F67" si="39">1/4*(6-2*C61+D61-E61)</f>
        <v>1.9909645755117911</v>
      </c>
      <c r="G62" s="14">
        <f t="shared" ref="G62:K67" si="40">ABS((B62-B61)/B62)</f>
        <v>6.1977609545413651E-4</v>
      </c>
      <c r="H62" s="15">
        <f t="shared" si="40"/>
        <v>7.8084215183913828E-4</v>
      </c>
      <c r="I62" s="14">
        <f t="shared" si="40"/>
        <v>2.2016747338339925E-3</v>
      </c>
      <c r="J62" s="14">
        <f t="shared" si="40"/>
        <v>1.3874363553280733E-3</v>
      </c>
      <c r="K62" s="14">
        <f t="shared" si="40"/>
        <v>7.1518108383847919E-4</v>
      </c>
      <c r="L62" s="16">
        <f t="shared" ref="L62:L67" si="41">MAX(G62:K62)</f>
        <v>2.2016747338339925E-3</v>
      </c>
    </row>
    <row r="63" spans="1:12" x14ac:dyDescent="0.35">
      <c r="A63" s="14">
        <v>12</v>
      </c>
      <c r="B63" s="14">
        <f t="shared" si="35"/>
        <v>0.78595052027233736</v>
      </c>
      <c r="C63" s="14">
        <f t="shared" si="36"/>
        <v>-1.0018753125745985</v>
      </c>
      <c r="D63" s="14">
        <f t="shared" si="37"/>
        <v>1.8669261368123751</v>
      </c>
      <c r="E63" s="14">
        <f t="shared" si="38"/>
        <v>1.9126769884315302</v>
      </c>
      <c r="F63" s="14">
        <f t="shared" si="39"/>
        <v>1.9888826639225807</v>
      </c>
      <c r="G63" s="14">
        <f t="shared" si="40"/>
        <v>6.0552150905228788E-4</v>
      </c>
      <c r="H63" s="15">
        <f t="shared" si="40"/>
        <v>6.4594085956470285E-4</v>
      </c>
      <c r="I63" s="14">
        <f t="shared" si="40"/>
        <v>2.4887596265136543E-4</v>
      </c>
      <c r="J63" s="14">
        <f t="shared" si="40"/>
        <v>3.7130179499934504E-4</v>
      </c>
      <c r="K63" s="14">
        <f t="shared" si="40"/>
        <v>1.0467744663751463E-3</v>
      </c>
      <c r="L63" s="16">
        <f t="shared" si="41"/>
        <v>1.0467744663751463E-3</v>
      </c>
    </row>
    <row r="64" spans="1:12" x14ac:dyDescent="0.35">
      <c r="A64" s="14">
        <v>13</v>
      </c>
      <c r="B64" s="14">
        <f t="shared" si="35"/>
        <v>0.78651662795991062</v>
      </c>
      <c r="C64" s="14">
        <f t="shared" si="36"/>
        <v>-1.0021157983428104</v>
      </c>
      <c r="D64" s="14">
        <f t="shared" si="37"/>
        <v>1.8663067848768069</v>
      </c>
      <c r="E64" s="14">
        <f t="shared" si="38"/>
        <v>1.9127503361275284</v>
      </c>
      <c r="F64" s="14">
        <f t="shared" si="39"/>
        <v>1.9894999433825107</v>
      </c>
      <c r="G64" s="14">
        <f t="shared" si="40"/>
        <v>7.1976569528052427E-4</v>
      </c>
      <c r="H64" s="15">
        <f t="shared" si="40"/>
        <v>2.3997802310829204E-4</v>
      </c>
      <c r="I64" s="14">
        <f t="shared" si="40"/>
        <v>3.3185966025893834E-4</v>
      </c>
      <c r="J64" s="14">
        <f t="shared" si="40"/>
        <v>3.8346717087344225E-5</v>
      </c>
      <c r="K64" s="14">
        <f t="shared" si="40"/>
        <v>3.1026864915636369E-4</v>
      </c>
      <c r="L64" s="16">
        <f t="shared" si="41"/>
        <v>7.1976569528052427E-4</v>
      </c>
    </row>
    <row r="65" spans="1:12" x14ac:dyDescent="0.35">
      <c r="A65" s="14">
        <v>14</v>
      </c>
      <c r="B65" s="14">
        <f t="shared" si="35"/>
        <v>0.7865772675208732</v>
      </c>
      <c r="C65" s="14">
        <f t="shared" si="36"/>
        <v>-1.002486502318525</v>
      </c>
      <c r="D65" s="14">
        <f t="shared" si="37"/>
        <v>1.8662665643866057</v>
      </c>
      <c r="E65" s="14">
        <f t="shared" si="38"/>
        <v>1.9126769036234768</v>
      </c>
      <c r="F65" s="14">
        <f t="shared" si="39"/>
        <v>1.9894470113587248</v>
      </c>
      <c r="G65" s="14">
        <f t="shared" si="40"/>
        <v>7.7092948736881699E-5</v>
      </c>
      <c r="H65" s="15">
        <f t="shared" si="40"/>
        <v>3.6978450568385493E-4</v>
      </c>
      <c r="I65" s="14">
        <f t="shared" si="40"/>
        <v>2.1551310498062551E-5</v>
      </c>
      <c r="J65" s="14">
        <f t="shared" si="40"/>
        <v>3.8392529293661276E-5</v>
      </c>
      <c r="K65" s="14">
        <f t="shared" si="40"/>
        <v>2.6606400413608865E-5</v>
      </c>
      <c r="L65" s="16">
        <f t="shared" si="41"/>
        <v>3.6978450568385493E-4</v>
      </c>
    </row>
    <row r="66" spans="1:12" x14ac:dyDescent="0.35">
      <c r="A66" s="14">
        <v>15</v>
      </c>
      <c r="B66" s="14">
        <f t="shared" si="35"/>
        <v>0.78669323164329863</v>
      </c>
      <c r="C66" s="14">
        <f t="shared" si="36"/>
        <v>-1.0025445998369302</v>
      </c>
      <c r="D66" s="14">
        <f t="shared" si="37"/>
        <v>1.8662911764517958</v>
      </c>
      <c r="E66" s="14">
        <f t="shared" si="38"/>
        <v>1.9125893323972385</v>
      </c>
      <c r="F66" s="14">
        <f t="shared" si="39"/>
        <v>1.9896406663500448</v>
      </c>
      <c r="G66" s="14">
        <f t="shared" si="40"/>
        <v>1.4740704223829826E-4</v>
      </c>
      <c r="H66" s="15">
        <f t="shared" si="40"/>
        <v>5.7950058695336107E-5</v>
      </c>
      <c r="I66" s="14">
        <f t="shared" si="40"/>
        <v>1.3187687698820454E-5</v>
      </c>
      <c r="J66" s="14">
        <f t="shared" si="40"/>
        <v>4.5786737777365478E-5</v>
      </c>
      <c r="K66" s="14">
        <f t="shared" si="40"/>
        <v>9.7331641132574081E-5</v>
      </c>
      <c r="L66" s="16">
        <f t="shared" si="41"/>
        <v>1.4740704223829826E-4</v>
      </c>
    </row>
    <row r="67" spans="1:12" x14ac:dyDescent="0.35">
      <c r="A67" s="10">
        <v>16</v>
      </c>
      <c r="B67" s="10">
        <f t="shared" si="35"/>
        <v>0.78665318925877248</v>
      </c>
      <c r="C67" s="10">
        <f t="shared" si="36"/>
        <v>-1.0026042409314215</v>
      </c>
      <c r="D67" s="10">
        <f t="shared" si="37"/>
        <v>1.8662776270595232</v>
      </c>
      <c r="E67" s="10">
        <f t="shared" si="38"/>
        <v>1.9126099520645412</v>
      </c>
      <c r="F67" s="10">
        <f t="shared" si="39"/>
        <v>1.9896977609321047</v>
      </c>
      <c r="G67" s="10">
        <f t="shared" si="40"/>
        <v>5.0902208333867141E-5</v>
      </c>
      <c r="H67" s="11">
        <f t="shared" si="40"/>
        <v>5.9486178151307372E-5</v>
      </c>
      <c r="I67" s="10">
        <f t="shared" si="40"/>
        <v>7.2601161135672398E-6</v>
      </c>
      <c r="J67" s="10">
        <f t="shared" si="40"/>
        <v>1.0780905579025645E-5</v>
      </c>
      <c r="K67" s="10">
        <f t="shared" si="40"/>
        <v>2.8695102935226063E-5</v>
      </c>
      <c r="L67" s="12">
        <f t="shared" si="41"/>
        <v>5.9486178151307372E-5</v>
      </c>
    </row>
    <row r="69" spans="1:12" ht="15.5" x14ac:dyDescent="0.35">
      <c r="A69" s="1" t="s">
        <v>0</v>
      </c>
      <c r="B69" s="1"/>
      <c r="C69" t="s">
        <v>1</v>
      </c>
      <c r="D69" s="1" t="s">
        <v>2</v>
      </c>
      <c r="E69" s="1"/>
      <c r="F69" s="1"/>
      <c r="G69" s="2" t="s">
        <v>3</v>
      </c>
      <c r="H69" s="13">
        <v>1E-3</v>
      </c>
    </row>
    <row r="70" spans="1:12" ht="15.5" x14ac:dyDescent="0.35">
      <c r="A70" s="1" t="s">
        <v>4</v>
      </c>
      <c r="B70" s="1"/>
      <c r="C70" t="s">
        <v>1</v>
      </c>
      <c r="D70" s="1" t="s">
        <v>5</v>
      </c>
      <c r="E70" s="1"/>
      <c r="F70" s="1"/>
      <c r="G70" s="2" t="s">
        <v>6</v>
      </c>
      <c r="H70" s="2">
        <v>20</v>
      </c>
    </row>
    <row r="71" spans="1:12" x14ac:dyDescent="0.35">
      <c r="A71" s="1" t="s">
        <v>7</v>
      </c>
      <c r="B71" s="1"/>
      <c r="C71" t="s">
        <v>1</v>
      </c>
      <c r="D71" s="1" t="s">
        <v>8</v>
      </c>
      <c r="E71" s="1"/>
      <c r="F71" s="1"/>
    </row>
    <row r="72" spans="1:12" x14ac:dyDescent="0.35">
      <c r="A72" s="1" t="s">
        <v>9</v>
      </c>
      <c r="B72" s="1"/>
      <c r="C72" t="s">
        <v>1</v>
      </c>
      <c r="D72" s="1" t="s">
        <v>10</v>
      </c>
      <c r="E72" s="1"/>
      <c r="F72" s="1"/>
    </row>
    <row r="73" spans="1:12" x14ac:dyDescent="0.35">
      <c r="A73" s="1" t="s">
        <v>11</v>
      </c>
      <c r="B73" s="1"/>
      <c r="C73" t="s">
        <v>1</v>
      </c>
      <c r="D73" s="1" t="s">
        <v>12</v>
      </c>
      <c r="E73" s="1"/>
      <c r="F73" s="1"/>
    </row>
    <row r="75" spans="1:12" ht="15.5" x14ac:dyDescent="0.35">
      <c r="A75" s="4" t="s">
        <v>13</v>
      </c>
      <c r="B75" s="4" t="s">
        <v>14</v>
      </c>
      <c r="C75" s="4" t="s">
        <v>15</v>
      </c>
      <c r="D75" s="4" t="s">
        <v>16</v>
      </c>
      <c r="E75" s="4" t="s">
        <v>17</v>
      </c>
      <c r="F75" s="4" t="s">
        <v>18</v>
      </c>
      <c r="G75" s="4" t="s">
        <v>19</v>
      </c>
      <c r="H75" s="4" t="s">
        <v>20</v>
      </c>
      <c r="I75" s="4" t="s">
        <v>21</v>
      </c>
      <c r="J75" s="4" t="s">
        <v>22</v>
      </c>
      <c r="K75" s="4" t="s">
        <v>23</v>
      </c>
      <c r="L75" s="4" t="s">
        <v>24</v>
      </c>
    </row>
    <row r="76" spans="1:12" ht="15.5" x14ac:dyDescent="0.35">
      <c r="A76" s="5">
        <v>0</v>
      </c>
      <c r="B76" s="5">
        <v>1</v>
      </c>
      <c r="C76" s="5">
        <v>2</v>
      </c>
      <c r="D76" s="5">
        <v>3</v>
      </c>
      <c r="E76" s="5">
        <v>4</v>
      </c>
      <c r="F76" s="5">
        <v>6</v>
      </c>
      <c r="G76" s="5"/>
      <c r="H76" s="5"/>
      <c r="I76" s="5"/>
      <c r="J76" s="5"/>
      <c r="K76" s="5"/>
      <c r="L76" s="5"/>
    </row>
    <row r="77" spans="1:12" x14ac:dyDescent="0.35">
      <c r="A77" s="6">
        <v>1</v>
      </c>
      <c r="B77" s="6">
        <f>1/4*(6-C76-D76-F76)</f>
        <v>-1.25</v>
      </c>
      <c r="C77" s="6">
        <f>-1/3*(6+B76-D76-E76)</f>
        <v>0</v>
      </c>
      <c r="D77" s="6">
        <f>1/5*(6-2*B76-C76+E76+F76)</f>
        <v>2.4000000000000004</v>
      </c>
      <c r="E77" s="6">
        <f>1/4*(6+B76+C76+D76)</f>
        <v>3</v>
      </c>
      <c r="F77" s="6">
        <f>1/4*(6-2*C76+D76-E76)</f>
        <v>0.25</v>
      </c>
      <c r="G77" s="6">
        <f>ABS((B77-B76)/B77)</f>
        <v>1.8</v>
      </c>
      <c r="H77" s="7" t="e">
        <f>ABS((C77-C76)/C77)</f>
        <v>#DIV/0!</v>
      </c>
      <c r="I77" s="6">
        <f>ABS((D77-D76)/D77)</f>
        <v>0.24999999999999981</v>
      </c>
      <c r="J77" s="6">
        <f>ABS((E77-E76)/E77)</f>
        <v>0.33333333333333331</v>
      </c>
      <c r="K77" s="6">
        <f>ABS((F77-F76)/F77)</f>
        <v>23</v>
      </c>
      <c r="L77" s="8" t="e">
        <f>MAX(G77:K77)</f>
        <v>#DIV/0!</v>
      </c>
    </row>
    <row r="78" spans="1:12" ht="15.5" x14ac:dyDescent="0.35">
      <c r="A78" s="5">
        <v>2</v>
      </c>
      <c r="B78" s="6">
        <f t="shared" ref="B78:B85" si="42">1/4*(6-C77-D77-F77)</f>
        <v>0.83749999999999991</v>
      </c>
      <c r="C78" s="6">
        <f t="shared" ref="C78:C85" si="43">-1/3*(6+B77-D77-E77)</f>
        <v>0.21666666666666679</v>
      </c>
      <c r="D78" s="6">
        <f t="shared" ref="D78:D85" si="44">1/5*(6-2*B77-C77+E77+F77)</f>
        <v>2.35</v>
      </c>
      <c r="E78" s="6">
        <f t="shared" ref="E78:E85" si="45">1/4*(6+B77+C77+D77)</f>
        <v>1.7875000000000001</v>
      </c>
      <c r="F78" s="6">
        <f t="shared" ref="F78:F85" si="46">1/4*(6-2*C77+D77-E77)</f>
        <v>1.35</v>
      </c>
      <c r="G78" s="6">
        <f t="shared" ref="G78:K85" si="47">ABS((B78-B77)/B78)</f>
        <v>2.4925373134328361</v>
      </c>
      <c r="H78" s="7">
        <f t="shared" si="47"/>
        <v>1</v>
      </c>
      <c r="I78" s="6">
        <f t="shared" si="47"/>
        <v>2.1276595744680965E-2</v>
      </c>
      <c r="J78" s="6">
        <f t="shared" si="47"/>
        <v>0.67832167832167822</v>
      </c>
      <c r="K78" s="6">
        <f t="shared" si="47"/>
        <v>0.81481481481481488</v>
      </c>
      <c r="L78" s="8">
        <f t="shared" ref="L78:L85" si="48">MAX(G78:K78)</f>
        <v>2.4925373134328361</v>
      </c>
    </row>
    <row r="79" spans="1:12" x14ac:dyDescent="0.35">
      <c r="A79" s="6">
        <v>3</v>
      </c>
      <c r="B79" s="6">
        <f t="shared" si="42"/>
        <v>0.52083333333333326</v>
      </c>
      <c r="C79" s="6">
        <f t="shared" si="43"/>
        <v>-0.90000000000000013</v>
      </c>
      <c r="D79" s="6">
        <f t="shared" si="44"/>
        <v>1.4491666666666667</v>
      </c>
      <c r="E79" s="6">
        <f t="shared" si="45"/>
        <v>2.3510416666666667</v>
      </c>
      <c r="F79" s="6">
        <f t="shared" si="46"/>
        <v>1.5322916666666666</v>
      </c>
      <c r="G79" s="6">
        <f t="shared" si="47"/>
        <v>0.6080000000000001</v>
      </c>
      <c r="H79" s="7">
        <f t="shared" si="47"/>
        <v>1.2407407407407409</v>
      </c>
      <c r="I79" s="6">
        <f t="shared" si="47"/>
        <v>0.6216216216216216</v>
      </c>
      <c r="J79" s="6">
        <f t="shared" si="47"/>
        <v>0.23969871510855115</v>
      </c>
      <c r="K79" s="6">
        <f t="shared" si="47"/>
        <v>0.11896668932698835</v>
      </c>
      <c r="L79" s="8">
        <f t="shared" si="48"/>
        <v>1.2407407407407409</v>
      </c>
    </row>
    <row r="80" spans="1:12" ht="15.5" x14ac:dyDescent="0.35">
      <c r="A80" s="5">
        <v>4</v>
      </c>
      <c r="B80" s="6">
        <f t="shared" si="42"/>
        <v>0.97963541666666676</v>
      </c>
      <c r="C80" s="6">
        <f t="shared" si="43"/>
        <v>-0.90687499999999988</v>
      </c>
      <c r="D80" s="6">
        <f t="shared" si="44"/>
        <v>1.9483333333333335</v>
      </c>
      <c r="E80" s="6">
        <f t="shared" si="45"/>
        <v>1.7674999999999998</v>
      </c>
      <c r="F80" s="6">
        <f t="shared" si="46"/>
        <v>1.7245312500000001</v>
      </c>
      <c r="G80" s="6">
        <f t="shared" si="47"/>
        <v>0.46833962464777512</v>
      </c>
      <c r="H80" s="7">
        <f t="shared" si="47"/>
        <v>7.5809786354235622E-3</v>
      </c>
      <c r="I80" s="6">
        <f t="shared" si="47"/>
        <v>0.25620188195038496</v>
      </c>
      <c r="J80" s="6">
        <f t="shared" si="47"/>
        <v>0.33015087223008027</v>
      </c>
      <c r="K80" s="6">
        <f t="shared" si="47"/>
        <v>0.11147352843465924</v>
      </c>
      <c r="L80" s="8">
        <f t="shared" si="48"/>
        <v>0.46833962464777512</v>
      </c>
    </row>
    <row r="81" spans="1:12" x14ac:dyDescent="0.35">
      <c r="A81" s="6">
        <v>5</v>
      </c>
      <c r="B81" s="6">
        <f t="shared" si="42"/>
        <v>0.80850260416666653</v>
      </c>
      <c r="C81" s="6">
        <f t="shared" si="43"/>
        <v>-1.0879340277777776</v>
      </c>
      <c r="D81" s="6">
        <f t="shared" si="44"/>
        <v>1.6879270833333333</v>
      </c>
      <c r="E81" s="6">
        <f t="shared" si="45"/>
        <v>2.0052734375000001</v>
      </c>
      <c r="F81" s="6">
        <f t="shared" si="46"/>
        <v>1.9986458333333332</v>
      </c>
      <c r="G81" s="6">
        <f t="shared" si="47"/>
        <v>0.21166637141062633</v>
      </c>
      <c r="H81" s="7">
        <f t="shared" si="47"/>
        <v>0.16642463895316362</v>
      </c>
      <c r="I81" s="6">
        <f t="shared" si="47"/>
        <v>0.15427576971260371</v>
      </c>
      <c r="J81" s="6">
        <f t="shared" si="47"/>
        <v>0.11857407227038094</v>
      </c>
      <c r="K81" s="6">
        <f t="shared" si="47"/>
        <v>0.13715015374993478</v>
      </c>
      <c r="L81" s="8">
        <f t="shared" si="48"/>
        <v>0.21166637141062633</v>
      </c>
    </row>
    <row r="82" spans="1:12" ht="15.5" x14ac:dyDescent="0.35">
      <c r="A82" s="5">
        <v>6</v>
      </c>
      <c r="B82" s="6">
        <f t="shared" si="42"/>
        <v>0.85034027777777765</v>
      </c>
      <c r="C82" s="6">
        <f t="shared" si="43"/>
        <v>-1.0384340277777777</v>
      </c>
      <c r="D82" s="6">
        <f t="shared" si="44"/>
        <v>1.8949696180555553</v>
      </c>
      <c r="E82" s="6">
        <f t="shared" si="45"/>
        <v>1.8521239149305555</v>
      </c>
      <c r="F82" s="6">
        <f t="shared" si="46"/>
        <v>1.964630425347222</v>
      </c>
      <c r="G82" s="6">
        <f t="shared" si="47"/>
        <v>4.9201095966484032E-2</v>
      </c>
      <c r="H82" s="7">
        <f t="shared" si="47"/>
        <v>4.766792947446899E-2</v>
      </c>
      <c r="I82" s="6">
        <f t="shared" si="47"/>
        <v>0.10925902597566189</v>
      </c>
      <c r="J82" s="6">
        <f t="shared" si="47"/>
        <v>8.2688594070222804E-2</v>
      </c>
      <c r="K82" s="6">
        <f t="shared" si="47"/>
        <v>1.7313896571717544E-2</v>
      </c>
      <c r="L82" s="8">
        <f t="shared" si="48"/>
        <v>0.10925902597566189</v>
      </c>
    </row>
    <row r="83" spans="1:12" x14ac:dyDescent="0.35">
      <c r="A83" s="6">
        <v>7</v>
      </c>
      <c r="B83" s="6">
        <f t="shared" si="42"/>
        <v>0.79470849609375005</v>
      </c>
      <c r="C83" s="6">
        <f t="shared" si="43"/>
        <v>-1.034415581597222</v>
      </c>
      <c r="D83" s="6">
        <f t="shared" si="44"/>
        <v>1.8309015625000002</v>
      </c>
      <c r="E83" s="6">
        <f t="shared" si="45"/>
        <v>1.9267189670138887</v>
      </c>
      <c r="F83" s="6">
        <f t="shared" si="46"/>
        <v>2.0299284396701389</v>
      </c>
      <c r="G83" s="6">
        <f t="shared" si="47"/>
        <v>7.0002751898936344E-2</v>
      </c>
      <c r="H83" s="7">
        <f t="shared" si="47"/>
        <v>3.8847502416300434E-3</v>
      </c>
      <c r="I83" s="6">
        <f t="shared" si="47"/>
        <v>3.4992627057499191E-2</v>
      </c>
      <c r="J83" s="6">
        <f t="shared" si="47"/>
        <v>3.8716104092203836E-2</v>
      </c>
      <c r="K83" s="6">
        <f t="shared" si="47"/>
        <v>3.2167643472953061E-2</v>
      </c>
      <c r="L83" s="8">
        <f t="shared" si="48"/>
        <v>7.0002751898936344E-2</v>
      </c>
    </row>
    <row r="84" spans="1:12" ht="15.5" x14ac:dyDescent="0.35">
      <c r="A84" s="5">
        <v>8</v>
      </c>
      <c r="B84" s="6">
        <f t="shared" si="42"/>
        <v>0.79339639485677071</v>
      </c>
      <c r="C84" s="6">
        <f t="shared" si="43"/>
        <v>-1.0123626555266203</v>
      </c>
      <c r="D84" s="6">
        <f t="shared" si="44"/>
        <v>1.8803291992187501</v>
      </c>
      <c r="E84" s="6">
        <f t="shared" si="45"/>
        <v>1.8977986192491321</v>
      </c>
      <c r="F84" s="6">
        <f t="shared" si="46"/>
        <v>1.9932534396701391</v>
      </c>
      <c r="G84" s="6">
        <f t="shared" si="47"/>
        <v>1.6537776645887134E-3</v>
      </c>
      <c r="H84" s="7">
        <f t="shared" si="47"/>
        <v>2.1783622647686487E-2</v>
      </c>
      <c r="I84" s="6">
        <f t="shared" si="47"/>
        <v>2.6286693170156753E-2</v>
      </c>
      <c r="J84" s="6">
        <f t="shared" si="47"/>
        <v>1.5238891772510088E-2</v>
      </c>
      <c r="K84" s="6">
        <f t="shared" si="47"/>
        <v>1.8399566894046895E-2</v>
      </c>
      <c r="L84" s="8">
        <f t="shared" si="48"/>
        <v>2.6286693170156753E-2</v>
      </c>
    </row>
    <row r="85" spans="1:12" x14ac:dyDescent="0.35">
      <c r="A85" s="6">
        <v>9</v>
      </c>
      <c r="B85" s="6">
        <f t="shared" si="42"/>
        <v>0.78469500415943261</v>
      </c>
      <c r="C85" s="6">
        <f t="shared" si="43"/>
        <v>-1.005089525462963</v>
      </c>
      <c r="D85" s="6">
        <f t="shared" si="44"/>
        <v>1.8633243849464698</v>
      </c>
      <c r="E85" s="6">
        <f t="shared" si="45"/>
        <v>1.9153407346372253</v>
      </c>
      <c r="F85" s="6">
        <f t="shared" si="46"/>
        <v>2.0018139727557145</v>
      </c>
      <c r="G85" s="6">
        <f t="shared" si="47"/>
        <v>1.1088882497294679E-2</v>
      </c>
      <c r="H85" s="7">
        <f t="shared" si="47"/>
        <v>7.2363007268502998E-3</v>
      </c>
      <c r="I85" s="6">
        <f t="shared" si="47"/>
        <v>9.1260622195790172E-3</v>
      </c>
      <c r="J85" s="6">
        <f t="shared" si="47"/>
        <v>9.1587439617712776E-3</v>
      </c>
      <c r="K85" s="6">
        <f t="shared" si="47"/>
        <v>4.2763879172003465E-3</v>
      </c>
      <c r="L85" s="8">
        <f t="shared" si="48"/>
        <v>1.1088882497294679E-2</v>
      </c>
    </row>
    <row r="86" spans="1:12" ht="15.5" x14ac:dyDescent="0.35">
      <c r="A86" s="5">
        <v>10</v>
      </c>
      <c r="B86" s="6">
        <f>1/4*(6-C85-D85-F85)</f>
        <v>0.78498779194019463</v>
      </c>
      <c r="C86" s="6">
        <f>-1/3*(6+B85-D85-E85)</f>
        <v>-1.0020099615252458</v>
      </c>
      <c r="D86" s="6">
        <f>1/5*(6-2*B85-C85+E85+F85)</f>
        <v>1.8705708449074074</v>
      </c>
      <c r="E86" s="6">
        <f>1/4*(6+B85+C85+D85)</f>
        <v>1.910732465910735</v>
      </c>
      <c r="F86" s="6">
        <f>1/4*(6-2*C85+D85-E85)</f>
        <v>1.9895406753087925</v>
      </c>
      <c r="G86" s="6">
        <f>ABS((B86-B85)/B86)</f>
        <v>3.7298386518644562E-4</v>
      </c>
      <c r="H86" s="7">
        <f>ABS((C86-C85)/C86)</f>
        <v>3.0733865490015434E-3</v>
      </c>
      <c r="I86" s="6">
        <f>ABS((D86-D85)/D86)</f>
        <v>3.8739297047561665E-3</v>
      </c>
      <c r="J86" s="6">
        <f>ABS((E86-E85)/E86)</f>
        <v>2.411781245520338E-3</v>
      </c>
      <c r="K86" s="6">
        <f>ABS((F86-F85)/F86)</f>
        <v>6.1689100400106403E-3</v>
      </c>
      <c r="L86" s="8">
        <f>MAX(G86:K86)</f>
        <v>6.1689100400106403E-3</v>
      </c>
    </row>
    <row r="87" spans="1:12" x14ac:dyDescent="0.35">
      <c r="A87" s="14">
        <v>11</v>
      </c>
      <c r="B87" s="14">
        <f t="shared" ref="B87:B89" si="49">1/4*(6-C86-D86-F86)</f>
        <v>0.78547461032726162</v>
      </c>
      <c r="C87" s="14">
        <f t="shared" ref="C87:C89" si="50">-1/3*(6+B86-D86-E86)</f>
        <v>-1.0012281603740174</v>
      </c>
      <c r="D87" s="14">
        <f t="shared" ref="D87:D89" si="51">1/5*(6-2*B86-C86+E86+F86)</f>
        <v>1.8664615037728769</v>
      </c>
      <c r="E87" s="14">
        <f t="shared" ref="E87:E89" si="52">1/4*(6+B86+C86+D86)</f>
        <v>1.9133871688305888</v>
      </c>
      <c r="F87" s="14">
        <f t="shared" ref="F87:F89" si="53">1/4*(6-2*C86+D86-E86)</f>
        <v>1.9909645755117911</v>
      </c>
      <c r="G87" s="14">
        <f t="shared" ref="G87:K89" si="54">ABS((B87-B86)/B87)</f>
        <v>6.1977609545413651E-4</v>
      </c>
      <c r="H87" s="15">
        <f t="shared" si="54"/>
        <v>7.8084215183913828E-4</v>
      </c>
      <c r="I87" s="14">
        <f t="shared" si="54"/>
        <v>2.2016747338339925E-3</v>
      </c>
      <c r="J87" s="14">
        <f t="shared" si="54"/>
        <v>1.3874363553280733E-3</v>
      </c>
      <c r="K87" s="14">
        <f t="shared" si="54"/>
        <v>7.1518108383847919E-4</v>
      </c>
      <c r="L87" s="16">
        <f t="shared" ref="L87:L89" si="55">MAX(G87:K87)</f>
        <v>2.2016747338339925E-3</v>
      </c>
    </row>
    <row r="88" spans="1:12" x14ac:dyDescent="0.35">
      <c r="A88" s="14">
        <v>12</v>
      </c>
      <c r="B88" s="14">
        <f t="shared" si="49"/>
        <v>0.78595052027233736</v>
      </c>
      <c r="C88" s="14">
        <f t="shared" si="50"/>
        <v>-1.0018753125745985</v>
      </c>
      <c r="D88" s="14">
        <f t="shared" si="51"/>
        <v>1.8669261368123751</v>
      </c>
      <c r="E88" s="14">
        <f t="shared" si="52"/>
        <v>1.9126769884315302</v>
      </c>
      <c r="F88" s="14">
        <f t="shared" si="53"/>
        <v>1.9888826639225807</v>
      </c>
      <c r="G88" s="14">
        <f t="shared" si="54"/>
        <v>6.0552150905228788E-4</v>
      </c>
      <c r="H88" s="15">
        <f t="shared" si="54"/>
        <v>6.4594085956470285E-4</v>
      </c>
      <c r="I88" s="14">
        <f t="shared" si="54"/>
        <v>2.4887596265136543E-4</v>
      </c>
      <c r="J88" s="14">
        <f t="shared" si="54"/>
        <v>3.7130179499934504E-4</v>
      </c>
      <c r="K88" s="14">
        <f t="shared" si="54"/>
        <v>1.0467744663751463E-3</v>
      </c>
      <c r="L88" s="16">
        <f t="shared" si="55"/>
        <v>1.0467744663751463E-3</v>
      </c>
    </row>
    <row r="89" spans="1:12" x14ac:dyDescent="0.35">
      <c r="A89" s="10">
        <v>13</v>
      </c>
      <c r="B89" s="10">
        <f t="shared" si="49"/>
        <v>0.78651662795991062</v>
      </c>
      <c r="C89" s="10">
        <f t="shared" si="50"/>
        <v>-1.0021157983428104</v>
      </c>
      <c r="D89" s="10">
        <f t="shared" si="51"/>
        <v>1.8663067848768069</v>
      </c>
      <c r="E89" s="10">
        <f t="shared" si="52"/>
        <v>1.9127503361275284</v>
      </c>
      <c r="F89" s="10">
        <f t="shared" si="53"/>
        <v>1.9894999433825107</v>
      </c>
      <c r="G89" s="10">
        <f t="shared" si="54"/>
        <v>7.1976569528052427E-4</v>
      </c>
      <c r="H89" s="11">
        <f t="shared" si="54"/>
        <v>2.3997802310829204E-4</v>
      </c>
      <c r="I89" s="10">
        <f t="shared" si="54"/>
        <v>3.3185966025893834E-4</v>
      </c>
      <c r="J89" s="10">
        <f t="shared" si="54"/>
        <v>3.8346717087344225E-5</v>
      </c>
      <c r="K89" s="10">
        <f t="shared" si="54"/>
        <v>3.1026864915636369E-4</v>
      </c>
      <c r="L89" s="12">
        <f t="shared" si="55"/>
        <v>7.1976569528052427E-4</v>
      </c>
    </row>
  </sheetData>
  <mergeCells count="40">
    <mergeCell ref="A72:B72"/>
    <mergeCell ref="D72:F72"/>
    <mergeCell ref="A73:B73"/>
    <mergeCell ref="D73:F73"/>
    <mergeCell ref="A69:B69"/>
    <mergeCell ref="D69:F69"/>
    <mergeCell ref="A70:B70"/>
    <mergeCell ref="D70:F70"/>
    <mergeCell ref="A71:B71"/>
    <mergeCell ref="D71:F71"/>
    <mergeCell ref="A46:B46"/>
    <mergeCell ref="D46:F46"/>
    <mergeCell ref="A47:B47"/>
    <mergeCell ref="D47:F47"/>
    <mergeCell ref="A48:B48"/>
    <mergeCell ref="D48:F48"/>
    <mergeCell ref="A28:B28"/>
    <mergeCell ref="D28:F28"/>
    <mergeCell ref="A44:B44"/>
    <mergeCell ref="D44:F44"/>
    <mergeCell ref="A45:B45"/>
    <mergeCell ref="D45:F45"/>
    <mergeCell ref="A25:B25"/>
    <mergeCell ref="D25:F25"/>
    <mergeCell ref="A26:B26"/>
    <mergeCell ref="D26:F26"/>
    <mergeCell ref="A27:B27"/>
    <mergeCell ref="D27:F27"/>
    <mergeCell ref="A4:B4"/>
    <mergeCell ref="D4:F4"/>
    <mergeCell ref="A5:B5"/>
    <mergeCell ref="D5:F5"/>
    <mergeCell ref="A24:B24"/>
    <mergeCell ref="D24:F24"/>
    <mergeCell ref="A1:B1"/>
    <mergeCell ref="D1:F1"/>
    <mergeCell ref="A2:B2"/>
    <mergeCell ref="D2:F2"/>
    <mergeCell ref="A3:B3"/>
    <mergeCell ref="D3:F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Oktaviani Putri</dc:creator>
  <cp:lastModifiedBy>Oktaviani Putri</cp:lastModifiedBy>
  <dcterms:created xsi:type="dcterms:W3CDTF">2026-05-23T07:53:51Z</dcterms:created>
  <dcterms:modified xsi:type="dcterms:W3CDTF">2026-05-23T07:54:15Z</dcterms:modified>
</cp:coreProperties>
</file>